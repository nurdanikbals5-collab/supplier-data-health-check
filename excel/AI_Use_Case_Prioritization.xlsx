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6F2E09DF-BF79-0243-BA99-2AFCC7D933D6}" xr6:coauthVersionLast="47" xr6:coauthVersionMax="47" xr10:uidLastSave="{00000000-0000-0000-0000-000000000000}"/>
  <bookViews>
    <workbookView xWindow="0" yWindow="500" windowWidth="28800" windowHeight="16260" activeTab="1" xr2:uid="{00000000-000D-0000-FFFF-FFFF00000000}"/>
  </bookViews>
  <sheets>
    <sheet name="Use Cases" sheetId="1" r:id="rId1"/>
    <sheet name="Matrix" sheetId="3" r:id="rId2"/>
    <sheet name="Scoring Guid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B3" i="3"/>
  <c r="C3" i="3"/>
  <c r="A4" i="3"/>
  <c r="B4" i="3"/>
  <c r="C4" i="3"/>
  <c r="A5" i="3"/>
  <c r="B5" i="3"/>
  <c r="C5" i="3"/>
  <c r="A6" i="3"/>
  <c r="B6" i="3"/>
  <c r="C6" i="3"/>
  <c r="A7" i="3"/>
  <c r="B7" i="3"/>
  <c r="C7" i="3"/>
  <c r="A8" i="3"/>
  <c r="B8" i="3"/>
  <c r="C8" i="3"/>
  <c r="A9" i="3"/>
  <c r="B9" i="3"/>
  <c r="C9" i="3"/>
  <c r="C2" i="3"/>
  <c r="B2" i="3"/>
  <c r="A2" i="3"/>
  <c r="N2" i="1"/>
  <c r="N3" i="1"/>
  <c r="N4" i="1"/>
  <c r="N5" i="1"/>
  <c r="N6" i="1"/>
  <c r="N7" i="1"/>
  <c r="N8" i="1"/>
  <c r="N9" i="1"/>
  <c r="M2" i="1"/>
  <c r="M3" i="1"/>
  <c r="M4" i="1"/>
  <c r="M5" i="1"/>
  <c r="M6" i="1"/>
  <c r="M7" i="1"/>
  <c r="M8" i="1"/>
  <c r="M9" i="1"/>
  <c r="B6" i="2"/>
</calcChain>
</file>

<file path=xl/sharedStrings.xml><?xml version="1.0" encoding="utf-8"?>
<sst xmlns="http://schemas.openxmlformats.org/spreadsheetml/2006/main" count="110" uniqueCount="91">
  <si>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</si>
  <si>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</si>
  <si>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</si>
  <si>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</si>
  <si>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</si>
  <si>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</si>
  <si>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</si>
  <si>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</si>
  <si>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</si>
  <si>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</si>
  <si>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</si>
  <si>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</si>
  <si>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</si>
  <si>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</si>
  <si>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</si>
  <si>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</si>
  <si>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</si>
  <si>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</si>
  <si>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</si>
  <si>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</si>
  <si>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</si>
  <si>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</si>
  <si>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</si>
  <si>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</si>
  <si>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</si>
  <si>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</si>
  <si>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</si>
  <si>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</si>
  <si>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</si>
  <si>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</si>
  <si>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</si>
  <si>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</si>
  <si>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</si>
  <si>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</si>
  <si>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</si>
  <si>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</si>
  <si>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</si>
  <si>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</si>
  <si>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</si>
  <si>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</si>
  <si>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</si>
  <si>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</si>
  <si>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</si>
  <si>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</si>
  <si>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</si>
  <si>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</si>
  <si>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</si>
  <si>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</si>
  <si>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</si>
  <si>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</si>
  <si>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</si>
  <si>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</si>
  <si>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</si>
  <si>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</si>
  <si>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</si>
  <si>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</si>
  <si>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</si>
  <si>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</si>
  <si>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</si>
  <si>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</si>
  <si>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</si>
  <si>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</si>
  <si>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</si>
  <si>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</si>
  <si>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</si>
  <si>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</si>
  <si>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</si>
  <si>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</si>
  <si>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</si>
  <si>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</si>
  <si>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</si>
  <si>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</si>
  <si>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</si>
  <si>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</si>
  <si>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</si>
  <si>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</si>
  <si>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</si>
  <si>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</si>
  <si>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</si>
  <si>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</si>
  <si>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</si>
  <si>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</si>
  <si>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</si>
  <si>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</si>
  <si>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</si>
  <si>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</si>
  <si>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</si>
  <si>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</si>
  <si>
    <t>Weighted score</t>
  </si>
  <si>
    <t>Rank</t>
  </si>
  <si>
    <t>Business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</si>
</sst>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AI use cases: value vs. effort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Matrix!$C$1</c:f>
              <c:strCache>
                <c:ptCount val="1"/>
                <c:pt idx="0">
                  <c:v>Business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04D5A38-9083-4D49-A8D5-34A28AA73A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9D1-E846-B27A-3DA1AEF5883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AB3BBC-B41A-A646-96D3-CE17761A0B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9D1-E846-B27A-3DA1AEF5883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D2D53E-DED1-4740-8352-2A199C24A4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9D1-E846-B27A-3DA1AEF5883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E754A7E-2E34-F341-B510-C488EFA26B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9D1-E846-B27A-3DA1AEF5883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F18A3B6-5D05-B74B-9EFA-C75F7B4A30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9D1-E846-B27A-3DA1AEF5883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D458BF3-1E99-E745-885C-D29C54BE86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9D1-E846-B27A-3DA1AEF5883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C8A02EE-4415-1344-B80A-69BF2475A5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9D1-E846-B27A-3DA1AEF5883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BDBCB24-BF27-8E43-A927-FBA2473430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9D1-E846-B27A-3DA1AEF588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T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Matrix!$B$2:$B$9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</c:numCache>
            </c:numRef>
          </c:xVal>
          <c:yVal>
            <c:numRef>
              <c:f>Matrix!$C$2:$C$9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Matrix!$A$2:$A$9</c15:f>
                <c15:dlblRangeCache>
                  <c:ptCount val="8"/>
                  <c:pt idx="0">
                    <c:v>UC1</c:v>
                  </c:pt>
                  <c:pt idx="1">
                    <c:v>UC2</c:v>
                  </c:pt>
                  <c:pt idx="2">
                    <c:v>UC3</c:v>
                  </c:pt>
                  <c:pt idx="3">
                    <c:v>UC4</c:v>
                  </c:pt>
                  <c:pt idx="4">
                    <c:v>UC5</c:v>
                  </c:pt>
                  <c:pt idx="5">
                    <c:v>UC6</c:v>
                  </c:pt>
                  <c:pt idx="6">
                    <c:v>UC7</c:v>
                  </c:pt>
                  <c:pt idx="7">
                    <c:v>UC8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9D1-E846-B27A-3DA1AEF58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152496"/>
        <c:axId val="566513936"/>
      </c:scatterChart>
      <c:valAx>
        <c:axId val="53215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Effort (1 = days, 5 = months)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7015157480314959"/>
              <c:y val="0.90645815106445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T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6513936"/>
        <c:crossesAt val="3"/>
        <c:crossBetween val="midCat"/>
      </c:valAx>
      <c:valAx>
        <c:axId val="56651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Business value (1-5)</a:t>
                </a:r>
                <a:r>
                  <a:rPr lang="en-US"/>
                  <a:t> </a:t>
                </a:r>
              </a:p>
            </c:rich>
          </c:tx>
          <c:layout>
            <c:manualLayout>
              <c:xMode val="edge"/>
              <c:yMode val="edge"/>
              <c:x val="1.6666666666666666E-2"/>
              <c:y val="0.287330125400991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T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32152496"/>
        <c:crossesAt val="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800100</xdr:colOff>
      <xdr:row>8</xdr:row>
      <xdr:rowOff>165100</xdr:rowOff>
    </xdr:from>
    <xdr:to>
      <xdr:col>13</xdr:col>
      <xdr:colOff>622300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35633B-FF53-21BD-0711-C7082573C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0.01528</cdr:x>
      <cdr:y>0.05324</cdr:y>
    </cdr:from>
    <cdr:to>
      <cdr:x>0.21528</cdr:x>
      <cdr:y>0.38657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DC94912-D5A1-8747-427F-160C6F2FDC12}"/>
            </a:ext>
          </a:extLst>
        </cdr:cNvPr>
        <cdr:cNvSpPr txBox="1"/>
      </cdr:nvSpPr>
      <cdr:spPr>
        <a:xfrm xmlns:a="http://schemas.openxmlformats.org/drawingml/2006/main">
          <a:off x="69850" y="14605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0.0125</cdr:x>
      <cdr:y>0.03009</cdr:y>
    </cdr:from>
    <cdr:to>
      <cdr:x>0.19861</cdr:x>
      <cdr:y>0.11806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F356A50-A119-4E2E-172B-6D83EB80FE12}"/>
            </a:ext>
          </a:extLst>
        </cdr:cNvPr>
        <cdr:cNvSpPr txBox="1"/>
      </cdr:nvSpPr>
      <cdr:spPr>
        <a:xfrm xmlns:a="http://schemas.openxmlformats.org/drawingml/2006/main">
          <a:off x="57150" y="82550"/>
          <a:ext cx="850900" cy="241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b="1"/>
            <a:t>Quick wins</a:t>
          </a:r>
          <a:endParaRPr lang="en-US" sz="1100" b="1" kern="1200"/>
        </a:p>
      </cdr:txBody>
    </cdr:sp>
  </cdr:relSizeAnchor>
  <cdr:relSizeAnchor xmlns:cdr="http://schemas.openxmlformats.org/drawingml/2006/chartDrawing">
    <cdr:from>
      <cdr:x>0.8</cdr:x>
      <cdr:y>0.03472</cdr:y>
    </cdr:from>
    <cdr:to>
      <cdr:x>0.97639</cdr:x>
      <cdr:y>0.12731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5B8A6C22-6671-BE70-9635-C4322F1C7485}"/>
            </a:ext>
          </a:extLst>
        </cdr:cNvPr>
        <cdr:cNvSpPr txBox="1"/>
      </cdr:nvSpPr>
      <cdr:spPr>
        <a:xfrm xmlns:a="http://schemas.openxmlformats.org/drawingml/2006/main">
          <a:off x="3657600" y="95250"/>
          <a:ext cx="806450" cy="254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b="1"/>
            <a:t>Big projects</a:t>
          </a:r>
          <a:endParaRPr lang="en-US" sz="1100" b="1" kern="1200"/>
        </a:p>
      </cdr:txBody>
    </cdr:sp>
  </cdr:relSizeAnchor>
  <cdr:relSizeAnchor xmlns:cdr="http://schemas.openxmlformats.org/drawingml/2006/chartDrawing">
    <cdr:from>
      <cdr:x>0.0125</cdr:x>
      <cdr:y>0.90509</cdr:y>
    </cdr:from>
    <cdr:to>
      <cdr:x>0.2125</cdr:x>
      <cdr:y>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F9FFE39B-7D76-E6DE-6214-728F2F767CD7}"/>
            </a:ext>
          </a:extLst>
        </cdr:cNvPr>
        <cdr:cNvSpPr txBox="1"/>
      </cdr:nvSpPr>
      <cdr:spPr>
        <a:xfrm xmlns:a="http://schemas.openxmlformats.org/drawingml/2006/main">
          <a:off x="57150" y="2482850"/>
          <a:ext cx="914400" cy="2603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0.00972</cdr:x>
      <cdr:y>0.87269</cdr:y>
    </cdr:from>
    <cdr:to>
      <cdr:x>0.21806</cdr:x>
      <cdr:y>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FA5C7D2A-35A5-114A-5471-6E2D5567E8D1}"/>
            </a:ext>
          </a:extLst>
        </cdr:cNvPr>
        <cdr:cNvSpPr txBox="1"/>
      </cdr:nvSpPr>
      <cdr:spPr>
        <a:xfrm xmlns:a="http://schemas.openxmlformats.org/drawingml/2006/main">
          <a:off x="44450" y="2393950"/>
          <a:ext cx="952500" cy="3492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0.01111</cdr:x>
      <cdr:y>0.88889</cdr:y>
    </cdr:from>
    <cdr:to>
      <cdr:x>0.19722</cdr:x>
      <cdr:y>0.97685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65A3D45E-CF07-A999-FE46-6DABEC2BC8BD}"/>
            </a:ext>
          </a:extLst>
        </cdr:cNvPr>
        <cdr:cNvSpPr txBox="1"/>
      </cdr:nvSpPr>
      <cdr:spPr>
        <a:xfrm xmlns:a="http://schemas.openxmlformats.org/drawingml/2006/main">
          <a:off x="50800" y="2438400"/>
          <a:ext cx="850900" cy="241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b="1" kern="1200"/>
            <a:t>Fill-ins</a:t>
          </a:r>
        </a:p>
      </cdr:txBody>
    </cdr:sp>
  </cdr:relSizeAnchor>
  <cdr:relSizeAnchor xmlns:cdr="http://schemas.openxmlformats.org/drawingml/2006/chartDrawing">
    <cdr:from>
      <cdr:x>0.81389</cdr:x>
      <cdr:y>0.89815</cdr:y>
    </cdr:from>
    <cdr:to>
      <cdr:x>1</cdr:x>
      <cdr:y>0.98611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B89690C8-93CF-22A0-ED20-F68252A01C8A}"/>
            </a:ext>
          </a:extLst>
        </cdr:cNvPr>
        <cdr:cNvSpPr txBox="1"/>
      </cdr:nvSpPr>
      <cdr:spPr>
        <a:xfrm xmlns:a="http://schemas.openxmlformats.org/drawingml/2006/main">
          <a:off x="3721100" y="2463800"/>
          <a:ext cx="850900" cy="241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b="1"/>
            <a:t>Avoid</a:t>
          </a:r>
          <a:endParaRPr lang="en-US" sz="1100" b="1" kern="1200"/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N9">
  <autoFilter ref="A1:N9" xr:uid="{00000000-0009-0000-0100-000001000000}"/>
  <tableColumns count="14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  <tableColumn id="13" xr3:uid="{5EA26752-C517-2B41-B7F3-9C6366B9BA98}" name="Weighted score" dataDxfId="1">
      <calculatedColumnFormula>H2*40%+I2*20%+(6-J2)*20%+(6-K2)*20%</calculatedColumnFormula>
    </tableColumn>
    <tableColumn id="14" xr3:uid="{F0605FC8-72E2-6648-91FF-7735AC24D597}" name="Rank" dataDxfId="0">
      <calculatedColumnFormula>_xlfn.RANK.EQ(M2,$M$2:$M$9)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4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88</v>
      </c>
      <c r="N1" t="s">
        <v>89</v>
      </c>
    </row>
    <row r="2" spans="1:14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  <c r="M2">
        <f t="shared" ref="M2:M9" si="0">H2*40%+I2*20%+(6-J2)*20%+(6-K2)*20%</f>
        <v>3.4000000000000004</v>
      </c>
      <c r="N2">
        <f t="shared" ref="N2:N9" si="1">_xlfn.RANK.EQ(M2,$M$2:$M$9)</f>
        <v>6</v>
      </c>
    </row>
    <row r="3" spans="1:14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87</v>
      </c>
      <c r="M3">
        <f t="shared" si="0"/>
        <v>4.8</v>
      </c>
      <c r="N3">
        <f t="shared" si="1"/>
        <v>1</v>
      </c>
    </row>
    <row r="4" spans="1:14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  <c r="M4">
        <f t="shared" si="0"/>
        <v>3.8</v>
      </c>
      <c r="N4">
        <f t="shared" si="1"/>
        <v>5</v>
      </c>
    </row>
    <row r="5" spans="1:14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3</v>
      </c>
      <c r="J5" s="2">
        <v>1</v>
      </c>
      <c r="K5" s="2">
        <v>1</v>
      </c>
      <c r="L5" s="2" t="s">
        <v>52</v>
      </c>
      <c r="M5">
        <f t="shared" si="0"/>
        <v>4.5999999999999996</v>
      </c>
      <c r="N5">
        <f t="shared" si="1"/>
        <v>2</v>
      </c>
    </row>
    <row r="6" spans="1:14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  <c r="M6">
        <f t="shared" si="0"/>
        <v>4.2</v>
      </c>
      <c r="N6">
        <f t="shared" si="1"/>
        <v>4</v>
      </c>
    </row>
    <row r="7" spans="1:14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3</v>
      </c>
      <c r="L7" s="2" t="s">
        <v>87</v>
      </c>
      <c r="M7">
        <f t="shared" si="0"/>
        <v>4.5999999999999996</v>
      </c>
      <c r="N7">
        <f t="shared" si="1"/>
        <v>2</v>
      </c>
    </row>
    <row r="8" spans="1:14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1</v>
      </c>
      <c r="J8" s="2">
        <v>3</v>
      </c>
      <c r="K8" s="2">
        <v>5</v>
      </c>
      <c r="L8" s="2" t="s">
        <v>87</v>
      </c>
      <c r="M8">
        <f t="shared" si="0"/>
        <v>3.0000000000000004</v>
      </c>
      <c r="N8">
        <f t="shared" si="1"/>
        <v>7</v>
      </c>
    </row>
    <row r="9" spans="1:14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5</v>
      </c>
      <c r="K9" s="2">
        <v>5</v>
      </c>
      <c r="L9" s="2" t="s">
        <v>87</v>
      </c>
      <c r="M9">
        <f t="shared" si="0"/>
        <v>1.6</v>
      </c>
      <c r="N9">
        <f t="shared" si="1"/>
        <v>8</v>
      </c>
    </row>
  </sheetData>
  <dataValidations disablePrompts="1"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9925-E3F4-B049-BA03-E1767B4A947B}">
  <dimension ref="A1:C9"/>
  <sheetViews>
    <sheetView tabSelected="1" workbookViewId="0">
      <selection activeCell="O31" sqref="O31"/>
    </sheetView>
  </sheetViews>
  <sheetFormatPr baseColWidth="10" defaultRowHeight="15" x14ac:dyDescent="0.2"/>
  <cols>
    <col min="3" max="3" width="12.6640625" customWidth="1"/>
  </cols>
  <sheetData>
    <row r="1" spans="1:3" x14ac:dyDescent="0.2">
      <c r="A1" t="s">
        <v>0</v>
      </c>
      <c r="B1" t="s">
        <v>74</v>
      </c>
      <c r="C1" t="s">
        <v>90</v>
      </c>
    </row>
    <row r="2" spans="1:3" x14ac:dyDescent="0.2">
      <c r="A2" t="str">
        <f>'Use Cases'!A2</f>
        <v>UC1</v>
      </c>
      <c r="B2">
        <f>'Use Cases'!J2</f>
        <v>3</v>
      </c>
      <c r="C2">
        <f>'Use Cases'!H2</f>
        <v>4</v>
      </c>
    </row>
    <row r="3" spans="1:3" x14ac:dyDescent="0.2">
      <c r="A3" t="str">
        <f>'Use Cases'!A3</f>
        <v>UC2</v>
      </c>
      <c r="B3">
        <f>'Use Cases'!J3</f>
        <v>2</v>
      </c>
      <c r="C3">
        <f>'Use Cases'!H3</f>
        <v>5</v>
      </c>
    </row>
    <row r="4" spans="1:3" x14ac:dyDescent="0.2">
      <c r="A4" t="str">
        <f>'Use Cases'!A4</f>
        <v>UC3</v>
      </c>
      <c r="B4">
        <f>'Use Cases'!J4</f>
        <v>2</v>
      </c>
      <c r="C4">
        <f>'Use Cases'!H4</f>
        <v>4</v>
      </c>
    </row>
    <row r="5" spans="1:3" x14ac:dyDescent="0.2">
      <c r="A5" t="str">
        <f>'Use Cases'!A5</f>
        <v>UC4</v>
      </c>
      <c r="B5">
        <f>'Use Cases'!J5</f>
        <v>1</v>
      </c>
      <c r="C5">
        <f>'Use Cases'!H5</f>
        <v>5</v>
      </c>
    </row>
    <row r="6" spans="1:3" x14ac:dyDescent="0.2">
      <c r="A6" t="str">
        <f>'Use Cases'!A6</f>
        <v>UC5</v>
      </c>
      <c r="B6">
        <f>'Use Cases'!J6</f>
        <v>5</v>
      </c>
      <c r="C6">
        <f>'Use Cases'!H6</f>
        <v>5</v>
      </c>
    </row>
    <row r="7" spans="1:3" x14ac:dyDescent="0.2">
      <c r="A7" t="str">
        <f>'Use Cases'!A7</f>
        <v>UC6</v>
      </c>
      <c r="B7">
        <f>'Use Cases'!J7</f>
        <v>1</v>
      </c>
      <c r="C7">
        <f>'Use Cases'!H7</f>
        <v>5</v>
      </c>
    </row>
    <row r="8" spans="1:3" x14ac:dyDescent="0.2">
      <c r="A8" t="str">
        <f>'Use Cases'!A8</f>
        <v>UC7</v>
      </c>
      <c r="B8">
        <f>'Use Cases'!J8</f>
        <v>3</v>
      </c>
      <c r="C8">
        <f>'Use Cases'!H8</f>
        <v>5</v>
      </c>
    </row>
    <row r="9" spans="1:3" x14ac:dyDescent="0.2">
      <c r="A9" t="str">
        <f>'Use Cases'!A9</f>
        <v>UC8</v>
      </c>
      <c r="B9">
        <f>'Use Cases'!J9</f>
        <v>5</v>
      </c>
      <c r="C9">
        <f>'Use Cases'!H9</f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 Cases</vt:lpstr>
      <vt:lpstr>Matrix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2026-10-09T13:10:02Z</dcterms:modified>
</cp:coreProperties>
</file>