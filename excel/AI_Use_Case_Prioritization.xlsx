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/>
  <mc:AlternateContent xmlns:mc="http://schemas.openxmlformats.org/markup-compatibility/2006">
    <mc:Choice Requires="x15">
      <x15ac:absPath xmlns:x15ac="http://schemas.microsoft.com/office/spreadsheetml/2010/11/ac" url="/Users/mac1/Desktop/app_projects/supplier-data-health-check/excel/"/>
    </mc:Choice>
  </mc:AlternateContent>
  <xr:revisionPtr revIDLastSave="0" documentId="13_ncr:1_{FA3850EC-81E1-0E41-91E7-D89BFA844DF8}" xr6:coauthVersionLast="47" xr6:coauthVersionMax="47" xr10:uidLastSave="{00000000-0000-0000-0000-000000000000}"/>
  <bookViews>
    <workbookView xWindow="0" yWindow="500" windowWidth="28800" windowHeight="16260" activeTab="1" xr2:uid="{00000000-000D-0000-FFFF-FFFF00000000}"/>
  </bookViews>
  <sheets>
    <sheet name="Use Cases" sheetId="1" r:id="rId1"/>
    <sheet name="Matrix" sheetId="3" r:id="rId2"/>
    <sheet name="Scoring Guide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3" l="1"/>
  <c r="B3" i="3"/>
  <c r="C3" i="3"/>
  <c r="A4" i="3"/>
  <c r="B4" i="3"/>
  <c r="C4" i="3"/>
  <c r="A5" i="3"/>
  <c r="B5" i="3"/>
  <c r="C5" i="3"/>
  <c r="A6" i="3"/>
  <c r="B6" i="3"/>
  <c r="C6" i="3"/>
  <c r="A7" i="3"/>
  <c r="B7" i="3"/>
  <c r="C7" i="3"/>
  <c r="A8" i="3"/>
  <c r="B8" i="3"/>
  <c r="C8" i="3"/>
  <c r="A9" i="3"/>
  <c r="B9" i="3"/>
  <c r="C9" i="3"/>
  <c r="C2" i="3"/>
  <c r="B2" i="3"/>
  <c r="A2" i="3"/>
  <c r="N2" i="1"/>
  <c r="N3" i="1"/>
  <c r="N4" i="1"/>
  <c r="N5" i="1"/>
  <c r="N6" i="1"/>
  <c r="N7" i="1"/>
  <c r="N8" i="1"/>
  <c r="N9" i="1"/>
  <c r="M2" i="1"/>
  <c r="M3" i="1"/>
  <c r="M4" i="1"/>
  <c r="M5" i="1"/>
  <c r="M6" i="1"/>
  <c r="M7" i="1"/>
  <c r="M8" i="1"/>
  <c r="M9" i="1"/>
  <c r="B6" i="2"/>
</calcChain>
</file>

<file path=xl/sharedStrings.xml><?xml version="1.0" encoding="utf-8"?>
<sst xmlns="http://schemas.openxmlformats.org/spreadsheetml/2006/main" count="110" uniqueCount="91">
  <si>
    <t>ID</t>
  </si>
  <si>
    <t>Use case</t>
  </si>
  <si>
    <t>Problem it solves</t>
  </si>
  <si>
    <t>AI type</t>
  </si>
  <si>
    <t>Data needed</t>
  </si>
  <si>
    <t>Data in project?</t>
  </si>
  <si>
    <t>Status</t>
  </si>
  <si>
    <t>Business value (1-5)</t>
  </si>
  <si>
    <t>Data readiness (1-5)</t>
  </si>
  <si>
    <t>Effort (1-5)</t>
  </si>
  <si>
    <t>Risk (1-5)</t>
  </si>
  <si>
    <t>Human approval needed?</t>
  </si>
  <si>
    <t>UC1</t>
  </si>
  <si>
    <t>Duplicate supplier detection</t>
  </si>
  <si>
    <t>The same supplier exists in both ERPs under different names, so spend and quality data are split.</t>
  </si>
  <si>
    <t>Machine learning (fuzzy matching)</t>
  </si>
  <si>
    <t>Supplier master data (name, VAT, IBAN, city)</t>
  </si>
  <si>
    <t>Yes (M1)</t>
  </si>
  <si>
    <t>Idea</t>
  </si>
  <si>
    <t>UC2</t>
  </si>
  <si>
    <t>Complaint classification</t>
  </si>
  <si>
    <t>Quality complaints are free text; someone must read each one to find the category.</t>
  </si>
  <si>
    <t>Generative AI (LLM)</t>
  </si>
  <si>
    <t>Complaint texts + a few hand-labelled examples</t>
  </si>
  <si>
    <t>Yes (M3)</t>
  </si>
  <si>
    <t>Piloted (M3)</t>
  </si>
  <si>
    <t>UC3</t>
  </si>
  <si>
    <t>Master-data validation assistant</t>
  </si>
  <si>
    <t>Missing or invalid VAT numbers, IBANs and country codes block the S/4HANA migration.</t>
  </si>
  <si>
    <t>Rules + Generative AI (suggests fixes)</t>
  </si>
  <si>
    <t>Supplier master data + data-quality rules</t>
  </si>
  <si>
    <t>UC4</t>
  </si>
  <si>
    <t>Ticket triage assistant</t>
  </si>
  <si>
    <t>New data-quality tickets must be read, prioritised and assigned by hand.</t>
  </si>
  <si>
    <t>Ticket descriptions + past priority and owner</t>
  </si>
  <si>
    <t>Partly (ticket tracker)</t>
  </si>
  <si>
    <t>UC5</t>
  </si>
  <si>
    <t>Late-delivery prediction</t>
  </si>
  <si>
    <t>Buyers learn about late deliveries only when the goods do not arrive.</t>
  </si>
  <si>
    <t>Machine learning (prediction)</t>
  </si>
  <si>
    <t>Purchase-order history with promised and actual dates</t>
  </si>
  <si>
    <t>Yes (PO lines)</t>
  </si>
  <si>
    <t>UC6</t>
  </si>
  <si>
    <t>Supplier scorecard summary</t>
  </si>
  <si>
    <t>Buyers have no time to read KPI tables before a supplier meeting.</t>
  </si>
  <si>
    <t>Supplier KPIs (on-time delivery, PPM, spend)</t>
  </si>
  <si>
    <t>Yes (M2)</t>
  </si>
  <si>
    <t>UC7</t>
  </si>
  <si>
    <t>S/4HANA help chatbot for users</t>
  </si>
  <si>
    <t>After go-live, users ask the same how-to questions about the new system again and again.</t>
  </si>
  <si>
    <t>Generative AI (chatbot on internal guides)</t>
  </si>
  <si>
    <t>Training material and process guides</t>
  </si>
  <si>
    <t>No</t>
  </si>
  <si>
    <t>UC8</t>
  </si>
  <si>
    <t>Auto-correcting master-data agent</t>
  </si>
  <si>
    <t>Fixing master-data errors by hand is slow.</t>
  </si>
  <si>
    <t>AI agent (changes data in SAP by itself)</t>
  </si>
  <si>
    <t>Supplier master data + write access to SAP</t>
  </si>
  <si>
    <t>Partly</t>
  </si>
  <si>
    <t>Criterion</t>
  </si>
  <si>
    <t>Weight</t>
  </si>
  <si>
    <t>A higher score is ...</t>
  </si>
  <si>
    <t>1 =</t>
  </si>
  <si>
    <t>3 =</t>
  </si>
  <si>
    <t>5 =</t>
  </si>
  <si>
    <t>Business value</t>
  </si>
  <si>
    <t>better</t>
  </si>
  <si>
    <t>Saves little time or money; few users</t>
  </si>
  <si>
    <t>Clear benefit for one team</t>
  </si>
  <si>
    <t>Large saving or risk reduction for many teams</t>
  </si>
  <si>
    <t>Data readiness</t>
  </si>
  <si>
    <t>Data does not exist or is very poor</t>
  </si>
  <si>
    <t>Data exists but needs cleaning</t>
  </si>
  <si>
    <t>Clean data is already available</t>
  </si>
  <si>
    <t>Effort</t>
  </si>
  <si>
    <t>WORSE (more work)</t>
  </si>
  <si>
    <t>A few days, existing tools</t>
  </si>
  <si>
    <t>Some weeks, needs IT support</t>
  </si>
  <si>
    <t>Months, new system or integration</t>
  </si>
  <si>
    <t>Risk</t>
  </si>
  <si>
    <t>WORSE (more risk)</t>
  </si>
  <si>
    <t>A wrong answer is harmless and easy to spot</t>
  </si>
  <si>
    <t>A wrong answer costs some time to fix</t>
  </si>
  <si>
    <t>A wrong answer changes real data or money without a check</t>
  </si>
  <si>
    <t>Total</t>
  </si>
  <si>
    <t>Effort and Risk count against a use case: in the weighted score they are turned around with (6 - score).</t>
  </si>
  <si>
    <t>Scores are my own judgement for a simulated company with synthetic data, not measured values.</t>
  </si>
  <si>
    <t>Yes</t>
  </si>
  <si>
    <t>Weighted score</t>
  </si>
  <si>
    <t>Rank</t>
  </si>
  <si>
    <t>Business Value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</si>
</sst>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i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9" fontId="0" fillId="0" borderId="0" xfId="0" applyNumberFormat="1" applyAlignment="1">
      <alignment vertical="top" wrapText="1"/>
    </xf>
    <xf numFmtId="0" fontId="2" fillId="0" borderId="0" xfId="0" applyFont="1"/>
  </cellXfs>
  <cellStyles count="1">
    <cellStyle name="Normal" xfId="0" builtinId="0"/>
  </cellStyles>
  <dxfs count="2"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baseline="0"/>
              <a:t>AI use cases: value vs. effort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T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Matrix!$C$1</c:f>
              <c:strCache>
                <c:ptCount val="1"/>
                <c:pt idx="0">
                  <c:v>Business Value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619AA6B9-46B6-8644-811D-4D288DAA9BE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89D1-E846-B27A-3DA1AEF5883E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D5AEAC8-5802-FF49-986A-FD128111043C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89D1-E846-B27A-3DA1AEF5883E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0BC4671C-F9C5-D845-B71D-60B5D59E72C6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89D1-E846-B27A-3DA1AEF5883E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r>
                      <a:rPr lang="en-US" sz="900" b="0" i="0" u="none" strike="noStrike" baseline="0"/>
                      <a:t>UC4 / UC6</a:t>
                    </a:r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showDataLabelsRange val="1"/>
                </c:ext>
                <c:ext xmlns:c16="http://schemas.microsoft.com/office/drawing/2014/chart" uri="{C3380CC4-5D6E-409C-BE32-E72D297353CC}">
                  <c16:uniqueId val="{00000004-89D1-E846-B27A-3DA1AEF5883E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6A8B9939-9C10-1F42-B5FF-517D71525143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89D1-E846-B27A-3DA1AEF5883E}"/>
                </c:ext>
              </c:extLst>
            </c:dLbl>
            <c:dLbl>
              <c:idx val="5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9D1-E846-B27A-3DA1AEF5883E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23243D77-6161-5048-BB46-8F0C57771F12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89D1-E846-B27A-3DA1AEF5883E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2E6F524-DD09-DC45-A190-591E43388C98}" type="CELLRANGE">
                      <a:rPr lang="en-US"/>
                      <a:pPr/>
                      <a:t>[CELLRANGE]</a:t>
                    </a:fld>
                    <a:endParaRPr lang="en-US"/>
                  </a:p>
                </c:rich>
              </c:tx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89D1-E846-B27A-3DA1AEF588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TR"/>
              </a:p>
            </c:txPr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Matrix!$B$2:$B$9</c:f>
              <c:numCache>
                <c:formatCode>General</c:formatCode>
                <c:ptCount val="8"/>
                <c:pt idx="0">
                  <c:v>3</c:v>
                </c:pt>
                <c:pt idx="1">
                  <c:v>2</c:v>
                </c:pt>
                <c:pt idx="2">
                  <c:v>2</c:v>
                </c:pt>
                <c:pt idx="3">
                  <c:v>1</c:v>
                </c:pt>
                <c:pt idx="4">
                  <c:v>5</c:v>
                </c:pt>
                <c:pt idx="5">
                  <c:v>1</c:v>
                </c:pt>
                <c:pt idx="6">
                  <c:v>3</c:v>
                </c:pt>
                <c:pt idx="7">
                  <c:v>5</c:v>
                </c:pt>
              </c:numCache>
            </c:numRef>
          </c:xVal>
          <c:yVal>
            <c:numRef>
              <c:f>Matrix!$C$2:$C$9</c:f>
              <c:numCache>
                <c:formatCode>General</c:formatCode>
                <c:ptCount val="8"/>
                <c:pt idx="0">
                  <c:v>4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  <c:pt idx="5">
                  <c:v>5</c:v>
                </c:pt>
                <c:pt idx="6">
                  <c:v>5</c:v>
                </c:pt>
                <c:pt idx="7">
                  <c:v>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Matrix!$A$2:$A$9</c15:f>
                <c15:dlblRangeCache>
                  <c:ptCount val="8"/>
                  <c:pt idx="0">
                    <c:v>UC1</c:v>
                  </c:pt>
                  <c:pt idx="1">
                    <c:v>UC2</c:v>
                  </c:pt>
                  <c:pt idx="2">
                    <c:v>UC3</c:v>
                  </c:pt>
                  <c:pt idx="3">
                    <c:v>UC4</c:v>
                  </c:pt>
                  <c:pt idx="4">
                    <c:v>UC5</c:v>
                  </c:pt>
                  <c:pt idx="5">
                    <c:v>UC6</c:v>
                  </c:pt>
                  <c:pt idx="6">
                    <c:v>UC7</c:v>
                  </c:pt>
                  <c:pt idx="7">
                    <c:v>UC8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0-89D1-E846-B27A-3DA1AEF588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32152496"/>
        <c:axId val="566513936"/>
      </c:scatterChart>
      <c:valAx>
        <c:axId val="53215249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Effort (1 = days, 5 = months)</a:t>
                </a:r>
                <a:endParaRPr lang="en-US"/>
              </a:p>
            </c:rich>
          </c:tx>
          <c:layout>
            <c:manualLayout>
              <c:xMode val="edge"/>
              <c:yMode val="edge"/>
              <c:x val="0.37015157480314959"/>
              <c:y val="0.9064581510644502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66513936"/>
        <c:crossesAt val="3"/>
        <c:crossBetween val="midCat"/>
      </c:valAx>
      <c:valAx>
        <c:axId val="566513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baseline="0"/>
                  <a:t>Business value (1-5)</a:t>
                </a:r>
                <a:r>
                  <a:rPr lang="en-US"/>
                  <a:t> </a:t>
                </a:r>
              </a:p>
            </c:rich>
          </c:tx>
          <c:layout>
            <c:manualLayout>
              <c:xMode val="edge"/>
              <c:yMode val="edge"/>
              <c:x val="1.6666666666666666E-2"/>
              <c:y val="0.2873301254009915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TR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19050" cap="flat" cmpd="sng" algn="ctr">
            <a:solidFill>
              <a:schemeClr val="tx1"/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TR"/>
          </a:p>
        </c:txPr>
        <c:crossAx val="532152496"/>
        <c:crossesAt val="3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TR"/>
    </a:p>
  </c:txPr>
  <c:printSettings>
    <c:headerFooter/>
    <c:pageMargins b="0.75" l="0.7" r="0.7" t="0.75" header="0.3" footer="0.3"/>
    <c:pageSetup/>
  </c:printSettings>
  <c:userShapes r:id="rId3"/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800100</xdr:colOff>
      <xdr:row>8</xdr:row>
      <xdr:rowOff>165100</xdr:rowOff>
    </xdr:from>
    <xdr:to>
      <xdr:col>13</xdr:col>
      <xdr:colOff>622300</xdr:colOff>
      <xdr:row>28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735633B-FF53-21BD-0711-C7082573CFC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0.01528</cdr:x>
      <cdr:y>0.05324</cdr:y>
    </cdr:from>
    <cdr:to>
      <cdr:x>0.21528</cdr:x>
      <cdr:y>0.38657</cdr:y>
    </cdr:to>
    <cdr:sp macro="" textlink="">
      <cdr:nvSpPr>
        <cdr:cNvPr id="2" name="TextBox 1">
          <a:extLst xmlns:a="http://schemas.openxmlformats.org/drawingml/2006/main">
            <a:ext uri="{FF2B5EF4-FFF2-40B4-BE49-F238E27FC236}">
              <a16:creationId xmlns:a16="http://schemas.microsoft.com/office/drawing/2014/main" id="{ADC94912-D5A1-8747-427F-160C6F2FDC12}"/>
            </a:ext>
          </a:extLst>
        </cdr:cNvPr>
        <cdr:cNvSpPr txBox="1"/>
      </cdr:nvSpPr>
      <cdr:spPr>
        <a:xfrm xmlns:a="http://schemas.openxmlformats.org/drawingml/2006/main">
          <a:off x="69850" y="14605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0.0125</cdr:x>
      <cdr:y>0.03009</cdr:y>
    </cdr:from>
    <cdr:to>
      <cdr:x>0.19861</cdr:x>
      <cdr:y>0.11806</cdr:y>
    </cdr:to>
    <cdr:sp macro="" textlink="">
      <cdr:nvSpPr>
        <cdr:cNvPr id="3" name="TextBox 2">
          <a:extLst xmlns:a="http://schemas.openxmlformats.org/drawingml/2006/main">
            <a:ext uri="{FF2B5EF4-FFF2-40B4-BE49-F238E27FC236}">
              <a16:creationId xmlns:a16="http://schemas.microsoft.com/office/drawing/2014/main" id="{BF356A50-A119-4E2E-172B-6D83EB80FE12}"/>
            </a:ext>
          </a:extLst>
        </cdr:cNvPr>
        <cdr:cNvSpPr txBox="1"/>
      </cdr:nvSpPr>
      <cdr:spPr>
        <a:xfrm xmlns:a="http://schemas.openxmlformats.org/drawingml/2006/main">
          <a:off x="57150" y="8255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b="1"/>
            <a:t>Quick wins</a:t>
          </a:r>
          <a:endParaRPr lang="en-US" sz="1100" b="1" kern="1200"/>
        </a:p>
      </cdr:txBody>
    </cdr:sp>
  </cdr:relSizeAnchor>
  <cdr:relSizeAnchor xmlns:cdr="http://schemas.openxmlformats.org/drawingml/2006/chartDrawing">
    <cdr:from>
      <cdr:x>0.8</cdr:x>
      <cdr:y>0.03472</cdr:y>
    </cdr:from>
    <cdr:to>
      <cdr:x>0.97639</cdr:x>
      <cdr:y>0.12731</cdr:y>
    </cdr:to>
    <cdr:sp macro="" textlink="">
      <cdr:nvSpPr>
        <cdr:cNvPr id="4" name="TextBox 3">
          <a:extLst xmlns:a="http://schemas.openxmlformats.org/drawingml/2006/main">
            <a:ext uri="{FF2B5EF4-FFF2-40B4-BE49-F238E27FC236}">
              <a16:creationId xmlns:a16="http://schemas.microsoft.com/office/drawing/2014/main" id="{5B8A6C22-6671-BE70-9635-C4322F1C7485}"/>
            </a:ext>
          </a:extLst>
        </cdr:cNvPr>
        <cdr:cNvSpPr txBox="1"/>
      </cdr:nvSpPr>
      <cdr:spPr>
        <a:xfrm xmlns:a="http://schemas.openxmlformats.org/drawingml/2006/main">
          <a:off x="3657600" y="95250"/>
          <a:ext cx="806450" cy="2540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r>
            <a:rPr lang="en-US" b="1"/>
            <a:t>Big projects</a:t>
          </a:r>
          <a:endParaRPr lang="en-US" sz="1100" b="1" kern="1200"/>
        </a:p>
      </cdr:txBody>
    </cdr:sp>
  </cdr:relSizeAnchor>
  <cdr:relSizeAnchor xmlns:cdr="http://schemas.openxmlformats.org/drawingml/2006/chartDrawing">
    <cdr:from>
      <cdr:x>0.0125</cdr:x>
      <cdr:y>0.90509</cdr:y>
    </cdr:from>
    <cdr:to>
      <cdr:x>0.2125</cdr:x>
      <cdr:y>1</cdr:y>
    </cdr:to>
    <cdr:sp macro="" textlink="">
      <cdr:nvSpPr>
        <cdr:cNvPr id="5" name="TextBox 4">
          <a:extLst xmlns:a="http://schemas.openxmlformats.org/drawingml/2006/main">
            <a:ext uri="{FF2B5EF4-FFF2-40B4-BE49-F238E27FC236}">
              <a16:creationId xmlns:a16="http://schemas.microsoft.com/office/drawing/2014/main" id="{F9FFE39B-7D76-E6DE-6214-728F2F767CD7}"/>
            </a:ext>
          </a:extLst>
        </cdr:cNvPr>
        <cdr:cNvSpPr txBox="1"/>
      </cdr:nvSpPr>
      <cdr:spPr>
        <a:xfrm xmlns:a="http://schemas.openxmlformats.org/drawingml/2006/main">
          <a:off x="57150" y="2482850"/>
          <a:ext cx="914400" cy="2603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0.00972</cdr:x>
      <cdr:y>0.87269</cdr:y>
    </cdr:from>
    <cdr:to>
      <cdr:x>0.21806</cdr:x>
      <cdr:y>1</cdr:y>
    </cdr:to>
    <cdr:sp macro="" textlink="">
      <cdr:nvSpPr>
        <cdr:cNvPr id="6" name="TextBox 5">
          <a:extLst xmlns:a="http://schemas.openxmlformats.org/drawingml/2006/main">
            <a:ext uri="{FF2B5EF4-FFF2-40B4-BE49-F238E27FC236}">
              <a16:creationId xmlns:a16="http://schemas.microsoft.com/office/drawing/2014/main" id="{FA5C7D2A-35A5-114A-5471-6E2D5567E8D1}"/>
            </a:ext>
          </a:extLst>
        </cdr:cNvPr>
        <cdr:cNvSpPr txBox="1"/>
      </cdr:nvSpPr>
      <cdr:spPr>
        <a:xfrm xmlns:a="http://schemas.openxmlformats.org/drawingml/2006/main">
          <a:off x="44450" y="2393950"/>
          <a:ext cx="952500" cy="34925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n-US" sz="1100" kern="1200"/>
        </a:p>
      </cdr:txBody>
    </cdr:sp>
  </cdr:relSizeAnchor>
  <cdr:relSizeAnchor xmlns:cdr="http://schemas.openxmlformats.org/drawingml/2006/chartDrawing">
    <cdr:from>
      <cdr:x>0.01111</cdr:x>
      <cdr:y>0.88889</cdr:y>
    </cdr:from>
    <cdr:to>
      <cdr:x>0.19722</cdr:x>
      <cdr:y>0.97685</cdr:y>
    </cdr:to>
    <cdr:sp macro="" textlink="">
      <cdr:nvSpPr>
        <cdr:cNvPr id="7" name="TextBox 1">
          <a:extLst xmlns:a="http://schemas.openxmlformats.org/drawingml/2006/main">
            <a:ext uri="{FF2B5EF4-FFF2-40B4-BE49-F238E27FC236}">
              <a16:creationId xmlns:a16="http://schemas.microsoft.com/office/drawing/2014/main" id="{65A3D45E-CF07-A999-FE46-6DABEC2BC8BD}"/>
            </a:ext>
          </a:extLst>
        </cdr:cNvPr>
        <cdr:cNvSpPr txBox="1"/>
      </cdr:nvSpPr>
      <cdr:spPr>
        <a:xfrm xmlns:a="http://schemas.openxmlformats.org/drawingml/2006/main">
          <a:off x="50800" y="243840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sz="1100" b="1" kern="1200"/>
            <a:t>Fill-ins</a:t>
          </a:r>
        </a:p>
      </cdr:txBody>
    </cdr:sp>
  </cdr:relSizeAnchor>
  <cdr:relSizeAnchor xmlns:cdr="http://schemas.openxmlformats.org/drawingml/2006/chartDrawing">
    <cdr:from>
      <cdr:x>0.81389</cdr:x>
      <cdr:y>0.89815</cdr:y>
    </cdr:from>
    <cdr:to>
      <cdr:x>1</cdr:x>
      <cdr:y>0.98611</cdr:y>
    </cdr:to>
    <cdr:sp macro="" textlink="">
      <cdr:nvSpPr>
        <cdr:cNvPr id="8" name="TextBox 1">
          <a:extLst xmlns:a="http://schemas.openxmlformats.org/drawingml/2006/main">
            <a:ext uri="{FF2B5EF4-FFF2-40B4-BE49-F238E27FC236}">
              <a16:creationId xmlns:a16="http://schemas.microsoft.com/office/drawing/2014/main" id="{B89690C8-93CF-22A0-ED20-F68252A01C8A}"/>
            </a:ext>
          </a:extLst>
        </cdr:cNvPr>
        <cdr:cNvSpPr txBox="1"/>
      </cdr:nvSpPr>
      <cdr:spPr>
        <a:xfrm xmlns:a="http://schemas.openxmlformats.org/drawingml/2006/main">
          <a:off x="3721100" y="2463800"/>
          <a:ext cx="850900" cy="241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wrap="none" rtlCol="0"/>
        <a:lstStyle xmlns:a="http://schemas.openxmlformats.org/drawingml/2006/main">
          <a:lvl1pPr marL="0" indent="0">
            <a:defRPr sz="1100">
              <a:latin typeface="+mn-lt"/>
              <a:ea typeface="+mn-ea"/>
              <a:cs typeface="+mn-cs"/>
            </a:defRPr>
          </a:lvl1pPr>
          <a:lvl2pPr marL="457200" indent="0">
            <a:defRPr sz="1100">
              <a:latin typeface="+mn-lt"/>
              <a:ea typeface="+mn-ea"/>
              <a:cs typeface="+mn-cs"/>
            </a:defRPr>
          </a:lvl2pPr>
          <a:lvl3pPr marL="914400" indent="0">
            <a:defRPr sz="1100">
              <a:latin typeface="+mn-lt"/>
              <a:ea typeface="+mn-ea"/>
              <a:cs typeface="+mn-cs"/>
            </a:defRPr>
          </a:lvl3pPr>
          <a:lvl4pPr marL="1371600" indent="0">
            <a:defRPr sz="1100">
              <a:latin typeface="+mn-lt"/>
              <a:ea typeface="+mn-ea"/>
              <a:cs typeface="+mn-cs"/>
            </a:defRPr>
          </a:lvl4pPr>
          <a:lvl5pPr marL="1828800" indent="0">
            <a:defRPr sz="1100">
              <a:latin typeface="+mn-lt"/>
              <a:ea typeface="+mn-ea"/>
              <a:cs typeface="+mn-cs"/>
            </a:defRPr>
          </a:lvl5pPr>
          <a:lvl6pPr marL="2286000" indent="0">
            <a:defRPr sz="1100">
              <a:latin typeface="+mn-lt"/>
              <a:ea typeface="+mn-ea"/>
              <a:cs typeface="+mn-cs"/>
            </a:defRPr>
          </a:lvl6pPr>
          <a:lvl7pPr marL="2743200" indent="0">
            <a:defRPr sz="1100">
              <a:latin typeface="+mn-lt"/>
              <a:ea typeface="+mn-ea"/>
              <a:cs typeface="+mn-cs"/>
            </a:defRPr>
          </a:lvl7pPr>
          <a:lvl8pPr marL="3200400" indent="0">
            <a:defRPr sz="1100">
              <a:latin typeface="+mn-lt"/>
              <a:ea typeface="+mn-ea"/>
              <a:cs typeface="+mn-cs"/>
            </a:defRPr>
          </a:lvl8pPr>
          <a:lvl9pPr marL="3657600" indent="0">
            <a:defRPr sz="1100"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r>
            <a:rPr lang="en-US" b="1"/>
            <a:t>Avoid</a:t>
          </a:r>
          <a:endParaRPr lang="en-US" sz="1100" b="1" kern="1200"/>
        </a:p>
      </cdr:txBody>
    </cdr:sp>
  </cdr:relSizeAnchor>
</c:userShap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UseCases" displayName="tblUseCases" ref="A1:N9">
  <autoFilter ref="A1:N9" xr:uid="{00000000-0009-0000-0100-000001000000}"/>
  <tableColumns count="14">
    <tableColumn id="1" xr3:uid="{00000000-0010-0000-0000-000001000000}" name="ID"/>
    <tableColumn id="2" xr3:uid="{00000000-0010-0000-0000-000002000000}" name="Use case"/>
    <tableColumn id="3" xr3:uid="{00000000-0010-0000-0000-000003000000}" name="Problem it solves"/>
    <tableColumn id="4" xr3:uid="{00000000-0010-0000-0000-000004000000}" name="AI type"/>
    <tableColumn id="5" xr3:uid="{00000000-0010-0000-0000-000005000000}" name="Data needed"/>
    <tableColumn id="6" xr3:uid="{00000000-0010-0000-0000-000006000000}" name="Data in project?"/>
    <tableColumn id="7" xr3:uid="{00000000-0010-0000-0000-000007000000}" name="Status"/>
    <tableColumn id="8" xr3:uid="{00000000-0010-0000-0000-000008000000}" name="Business value (1-5)"/>
    <tableColumn id="9" xr3:uid="{00000000-0010-0000-0000-000009000000}" name="Data readiness (1-5)"/>
    <tableColumn id="10" xr3:uid="{00000000-0010-0000-0000-00000A000000}" name="Effort (1-5)"/>
    <tableColumn id="11" xr3:uid="{00000000-0010-0000-0000-00000B000000}" name="Risk (1-5)"/>
    <tableColumn id="12" xr3:uid="{00000000-0010-0000-0000-00000C000000}" name="Human approval needed?"/>
    <tableColumn id="13" xr3:uid="{5EA26752-C517-2B41-B7F3-9C6366B9BA98}" name="Weighted score" dataDxfId="1">
      <calculatedColumnFormula>H2*40%+I2*20%+(6-J2)*20%+(6-K2)*20%</calculatedColumnFormula>
    </tableColumn>
    <tableColumn id="14" xr3:uid="{F0605FC8-72E2-6648-91FF-7735AC24D597}" name="Rank" dataDxfId="0">
      <calculatedColumnFormula>_xlfn.RANK.EQ(M2,$M$2:$M$9)</calculatedColumnFormula>
    </tableColumn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"/>
  <sheetViews>
    <sheetView workbookViewId="0">
      <pane xSplit="2" ySplit="1" topLeftCell="C2" activePane="bottomRight" state="frozen"/>
      <selection pane="topRight"/>
      <selection pane="bottomLeft"/>
      <selection pane="bottomRight" activeCell="A3" sqref="A3"/>
    </sheetView>
  </sheetViews>
  <sheetFormatPr baseColWidth="10" defaultColWidth="8.83203125" defaultRowHeight="15" x14ac:dyDescent="0.2"/>
  <cols>
    <col min="1" max="1" width="6" customWidth="1"/>
    <col min="2" max="2" width="28" customWidth="1"/>
    <col min="3" max="3" width="48" customWidth="1"/>
    <col min="4" max="4" width="28" customWidth="1"/>
    <col min="5" max="5" width="36" customWidth="1"/>
    <col min="6" max="6" width="18" customWidth="1"/>
    <col min="7" max="7" width="14" customWidth="1"/>
    <col min="8" max="11" width="12" customWidth="1"/>
    <col min="12" max="12" width="14" customWidth="1"/>
  </cols>
  <sheetData>
    <row r="1" spans="1:14" ht="48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88</v>
      </c>
      <c r="N1" t="s">
        <v>89</v>
      </c>
    </row>
    <row r="2" spans="1:14" ht="32" x14ac:dyDescent="0.2">
      <c r="A2" s="2" t="s">
        <v>12</v>
      </c>
      <c r="B2" s="2" t="s">
        <v>13</v>
      </c>
      <c r="C2" s="2" t="s">
        <v>14</v>
      </c>
      <c r="D2" s="2" t="s">
        <v>15</v>
      </c>
      <c r="E2" s="2" t="s">
        <v>16</v>
      </c>
      <c r="F2" s="2" t="s">
        <v>17</v>
      </c>
      <c r="G2" s="2" t="s">
        <v>18</v>
      </c>
      <c r="H2" s="2">
        <v>4</v>
      </c>
      <c r="I2" s="2">
        <v>3</v>
      </c>
      <c r="J2" s="2">
        <v>3</v>
      </c>
      <c r="K2" s="2">
        <v>3</v>
      </c>
      <c r="L2" s="2" t="s">
        <v>87</v>
      </c>
      <c r="M2">
        <f t="shared" ref="M2:M9" si="0">H2*40%+I2*20%+(6-J2)*20%+(6-K2)*20%</f>
        <v>3.4000000000000004</v>
      </c>
      <c r="N2">
        <f t="shared" ref="N2:N9" si="1">_xlfn.RANK.EQ(M2,$M$2:$M$9)</f>
        <v>6</v>
      </c>
    </row>
    <row r="3" spans="1:14" ht="32" x14ac:dyDescent="0.2">
      <c r="A3" s="2" t="s">
        <v>19</v>
      </c>
      <c r="B3" s="2" t="s">
        <v>20</v>
      </c>
      <c r="C3" s="2" t="s">
        <v>21</v>
      </c>
      <c r="D3" s="2" t="s">
        <v>22</v>
      </c>
      <c r="E3" s="2" t="s">
        <v>23</v>
      </c>
      <c r="F3" s="2" t="s">
        <v>24</v>
      </c>
      <c r="G3" s="2" t="s">
        <v>25</v>
      </c>
      <c r="H3" s="2">
        <v>5</v>
      </c>
      <c r="I3" s="2">
        <v>5</v>
      </c>
      <c r="J3" s="2">
        <v>2</v>
      </c>
      <c r="K3" s="2">
        <v>1</v>
      </c>
      <c r="L3" s="2" t="s">
        <v>87</v>
      </c>
      <c r="M3">
        <f t="shared" si="0"/>
        <v>4.8</v>
      </c>
      <c r="N3">
        <f t="shared" si="1"/>
        <v>1</v>
      </c>
    </row>
    <row r="4" spans="1:14" ht="32" x14ac:dyDescent="0.2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17</v>
      </c>
      <c r="G4" s="2" t="s">
        <v>18</v>
      </c>
      <c r="H4" s="2">
        <v>4</v>
      </c>
      <c r="I4" s="2">
        <v>3</v>
      </c>
      <c r="J4" s="2">
        <v>2</v>
      </c>
      <c r="K4" s="2">
        <v>2</v>
      </c>
      <c r="L4" s="2" t="s">
        <v>87</v>
      </c>
      <c r="M4">
        <f t="shared" si="0"/>
        <v>3.8</v>
      </c>
      <c r="N4">
        <f t="shared" si="1"/>
        <v>5</v>
      </c>
    </row>
    <row r="5" spans="1:14" ht="32" x14ac:dyDescent="0.2">
      <c r="A5" s="2" t="s">
        <v>31</v>
      </c>
      <c r="B5" s="2" t="s">
        <v>32</v>
      </c>
      <c r="C5" s="2" t="s">
        <v>33</v>
      </c>
      <c r="D5" s="2" t="s">
        <v>22</v>
      </c>
      <c r="E5" s="2" t="s">
        <v>34</v>
      </c>
      <c r="F5" s="2" t="s">
        <v>35</v>
      </c>
      <c r="G5" s="2" t="s">
        <v>18</v>
      </c>
      <c r="H5" s="2">
        <v>5</v>
      </c>
      <c r="I5" s="2">
        <v>3</v>
      </c>
      <c r="J5" s="2">
        <v>1</v>
      </c>
      <c r="K5" s="2">
        <v>1</v>
      </c>
      <c r="L5" s="2" t="s">
        <v>52</v>
      </c>
      <c r="M5">
        <f t="shared" si="0"/>
        <v>4.5999999999999996</v>
      </c>
      <c r="N5">
        <f t="shared" si="1"/>
        <v>2</v>
      </c>
    </row>
    <row r="6" spans="1:14" ht="32" x14ac:dyDescent="0.2">
      <c r="A6" s="2" t="s">
        <v>36</v>
      </c>
      <c r="B6" s="2" t="s">
        <v>37</v>
      </c>
      <c r="C6" s="2" t="s">
        <v>38</v>
      </c>
      <c r="D6" s="2" t="s">
        <v>39</v>
      </c>
      <c r="E6" s="2" t="s">
        <v>40</v>
      </c>
      <c r="F6" s="2" t="s">
        <v>41</v>
      </c>
      <c r="G6" s="2" t="s">
        <v>18</v>
      </c>
      <c r="H6" s="2">
        <v>5</v>
      </c>
      <c r="I6" s="2">
        <v>5</v>
      </c>
      <c r="J6" s="2">
        <v>5</v>
      </c>
      <c r="K6" s="2">
        <v>1</v>
      </c>
      <c r="L6" s="2" t="s">
        <v>52</v>
      </c>
      <c r="M6">
        <f t="shared" si="0"/>
        <v>4.2</v>
      </c>
      <c r="N6">
        <f t="shared" si="1"/>
        <v>4</v>
      </c>
    </row>
    <row r="7" spans="1:14" ht="32" x14ac:dyDescent="0.2">
      <c r="A7" s="2" t="s">
        <v>42</v>
      </c>
      <c r="B7" s="2" t="s">
        <v>43</v>
      </c>
      <c r="C7" s="2" t="s">
        <v>44</v>
      </c>
      <c r="D7" s="2" t="s">
        <v>22</v>
      </c>
      <c r="E7" s="2" t="s">
        <v>45</v>
      </c>
      <c r="F7" s="2" t="s">
        <v>46</v>
      </c>
      <c r="G7" s="2" t="s">
        <v>18</v>
      </c>
      <c r="H7" s="2">
        <v>5</v>
      </c>
      <c r="I7" s="2">
        <v>5</v>
      </c>
      <c r="J7" s="2">
        <v>1</v>
      </c>
      <c r="K7" s="2">
        <v>3</v>
      </c>
      <c r="L7" s="2" t="s">
        <v>87</v>
      </c>
      <c r="M7">
        <f t="shared" si="0"/>
        <v>4.5999999999999996</v>
      </c>
      <c r="N7">
        <f t="shared" si="1"/>
        <v>2</v>
      </c>
    </row>
    <row r="8" spans="1:14" ht="32" x14ac:dyDescent="0.2">
      <c r="A8" s="2" t="s">
        <v>47</v>
      </c>
      <c r="B8" s="2" t="s">
        <v>48</v>
      </c>
      <c r="C8" s="2" t="s">
        <v>49</v>
      </c>
      <c r="D8" s="2" t="s">
        <v>50</v>
      </c>
      <c r="E8" s="2" t="s">
        <v>51</v>
      </c>
      <c r="F8" s="2" t="s">
        <v>52</v>
      </c>
      <c r="G8" s="2" t="s">
        <v>18</v>
      </c>
      <c r="H8" s="2">
        <v>5</v>
      </c>
      <c r="I8" s="2">
        <v>1</v>
      </c>
      <c r="J8" s="2">
        <v>3</v>
      </c>
      <c r="K8" s="2">
        <v>5</v>
      </c>
      <c r="L8" s="2" t="s">
        <v>87</v>
      </c>
      <c r="M8">
        <f t="shared" si="0"/>
        <v>3.0000000000000004</v>
      </c>
      <c r="N8">
        <f t="shared" si="1"/>
        <v>7</v>
      </c>
    </row>
    <row r="9" spans="1:14" ht="32" x14ac:dyDescent="0.2">
      <c r="A9" s="2" t="s">
        <v>53</v>
      </c>
      <c r="B9" s="2" t="s">
        <v>54</v>
      </c>
      <c r="C9" s="2" t="s">
        <v>55</v>
      </c>
      <c r="D9" s="2" t="s">
        <v>56</v>
      </c>
      <c r="E9" s="2" t="s">
        <v>57</v>
      </c>
      <c r="F9" s="2" t="s">
        <v>58</v>
      </c>
      <c r="G9" s="2" t="s">
        <v>18</v>
      </c>
      <c r="H9" s="2">
        <v>2</v>
      </c>
      <c r="I9" s="2">
        <v>2</v>
      </c>
      <c r="J9" s="2">
        <v>5</v>
      </c>
      <c r="K9" s="2">
        <v>5</v>
      </c>
      <c r="L9" s="2" t="s">
        <v>87</v>
      </c>
      <c r="M9">
        <f t="shared" si="0"/>
        <v>1.6</v>
      </c>
      <c r="N9">
        <f t="shared" si="1"/>
        <v>8</v>
      </c>
    </row>
  </sheetData>
  <dataValidations disablePrompts="1" count="2">
    <dataValidation type="whole" showErrorMessage="1" errorTitle="Score 1-5" error="Please enter a whole number from 1 to 5." sqref="H2:K9" xr:uid="{00000000-0002-0000-0000-000000000000}">
      <formula1>1</formula1>
      <formula2>5</formula2>
    </dataValidation>
    <dataValidation type="list" allowBlank="1" sqref="L2:L9" xr:uid="{00000000-0002-0000-0000-000001000000}">
      <formula1>"Yes,No"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69925-E3F4-B049-BA03-E1767B4A947B}">
  <dimension ref="A1:C9"/>
  <sheetViews>
    <sheetView tabSelected="1" topLeftCell="B1" workbookViewId="0">
      <selection activeCell="P31" sqref="P31"/>
    </sheetView>
  </sheetViews>
  <sheetFormatPr baseColWidth="10" defaultRowHeight="15" x14ac:dyDescent="0.2"/>
  <cols>
    <col min="3" max="3" width="12.6640625" customWidth="1"/>
  </cols>
  <sheetData>
    <row r="1" spans="1:3" x14ac:dyDescent="0.2">
      <c r="A1" t="s">
        <v>0</v>
      </c>
      <c r="B1" t="s">
        <v>74</v>
      </c>
      <c r="C1" t="s">
        <v>90</v>
      </c>
    </row>
    <row r="2" spans="1:3" x14ac:dyDescent="0.2">
      <c r="A2" t="str">
        <f>'Use Cases'!A2</f>
        <v>UC1</v>
      </c>
      <c r="B2">
        <f>'Use Cases'!J2</f>
        <v>3</v>
      </c>
      <c r="C2">
        <f>'Use Cases'!H2</f>
        <v>4</v>
      </c>
    </row>
    <row r="3" spans="1:3" x14ac:dyDescent="0.2">
      <c r="A3" t="str">
        <f>'Use Cases'!A3</f>
        <v>UC2</v>
      </c>
      <c r="B3">
        <f>'Use Cases'!J3</f>
        <v>2</v>
      </c>
      <c r="C3">
        <f>'Use Cases'!H3</f>
        <v>5</v>
      </c>
    </row>
    <row r="4" spans="1:3" x14ac:dyDescent="0.2">
      <c r="A4" t="str">
        <f>'Use Cases'!A4</f>
        <v>UC3</v>
      </c>
      <c r="B4">
        <f>'Use Cases'!J4</f>
        <v>2</v>
      </c>
      <c r="C4">
        <f>'Use Cases'!H4</f>
        <v>4</v>
      </c>
    </row>
    <row r="5" spans="1:3" x14ac:dyDescent="0.2">
      <c r="A5" t="str">
        <f>'Use Cases'!A5</f>
        <v>UC4</v>
      </c>
      <c r="B5">
        <f>'Use Cases'!J5</f>
        <v>1</v>
      </c>
      <c r="C5">
        <f>'Use Cases'!H5</f>
        <v>5</v>
      </c>
    </row>
    <row r="6" spans="1:3" x14ac:dyDescent="0.2">
      <c r="A6" t="str">
        <f>'Use Cases'!A6</f>
        <v>UC5</v>
      </c>
      <c r="B6">
        <f>'Use Cases'!J6</f>
        <v>5</v>
      </c>
      <c r="C6">
        <f>'Use Cases'!H6</f>
        <v>5</v>
      </c>
    </row>
    <row r="7" spans="1:3" x14ac:dyDescent="0.2">
      <c r="A7" t="str">
        <f>'Use Cases'!A7</f>
        <v>UC6</v>
      </c>
      <c r="B7">
        <f>'Use Cases'!J7</f>
        <v>1</v>
      </c>
      <c r="C7">
        <f>'Use Cases'!H7</f>
        <v>5</v>
      </c>
    </row>
    <row r="8" spans="1:3" x14ac:dyDescent="0.2">
      <c r="A8" t="str">
        <f>'Use Cases'!A8</f>
        <v>UC7</v>
      </c>
      <c r="B8">
        <f>'Use Cases'!J8</f>
        <v>3</v>
      </c>
      <c r="C8">
        <f>'Use Cases'!H8</f>
        <v>5</v>
      </c>
    </row>
    <row r="9" spans="1:3" x14ac:dyDescent="0.2">
      <c r="A9" t="str">
        <f>'Use Cases'!A9</f>
        <v>UC8</v>
      </c>
      <c r="B9">
        <f>'Use Cases'!J9</f>
        <v>5</v>
      </c>
      <c r="C9">
        <f>'Use Cases'!H9</f>
        <v>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9"/>
  <sheetViews>
    <sheetView workbookViewId="0">
      <selection activeCell="D2" sqref="D2"/>
    </sheetView>
  </sheetViews>
  <sheetFormatPr baseColWidth="10" defaultColWidth="8.83203125" defaultRowHeight="15" x14ac:dyDescent="0.2"/>
  <cols>
    <col min="1" max="1" width="18" customWidth="1"/>
    <col min="2" max="2" width="9" customWidth="1"/>
    <col min="3" max="3" width="20" customWidth="1"/>
    <col min="4" max="5" width="40" customWidth="1"/>
    <col min="6" max="6" width="44" customWidth="1"/>
  </cols>
  <sheetData>
    <row r="1" spans="1:6" ht="16" x14ac:dyDescent="0.2">
      <c r="A1" s="1" t="s">
        <v>59</v>
      </c>
      <c r="B1" s="1" t="s">
        <v>60</v>
      </c>
      <c r="C1" s="1" t="s">
        <v>61</v>
      </c>
      <c r="D1" s="1" t="s">
        <v>62</v>
      </c>
      <c r="E1" s="1" t="s">
        <v>63</v>
      </c>
      <c r="F1" s="1" t="s">
        <v>64</v>
      </c>
    </row>
    <row r="2" spans="1:6" ht="16" x14ac:dyDescent="0.2">
      <c r="A2" s="2" t="s">
        <v>65</v>
      </c>
      <c r="B2" s="3">
        <v>0.4</v>
      </c>
      <c r="C2" s="2" t="s">
        <v>66</v>
      </c>
      <c r="D2" s="2" t="s">
        <v>67</v>
      </c>
      <c r="E2" s="2" t="s">
        <v>68</v>
      </c>
      <c r="F2" s="2" t="s">
        <v>69</v>
      </c>
    </row>
    <row r="3" spans="1:6" ht="16" x14ac:dyDescent="0.2">
      <c r="A3" s="2" t="s">
        <v>70</v>
      </c>
      <c r="B3" s="3">
        <v>0.2</v>
      </c>
      <c r="C3" s="2" t="s">
        <v>66</v>
      </c>
      <c r="D3" s="2" t="s">
        <v>71</v>
      </c>
      <c r="E3" s="2" t="s">
        <v>72</v>
      </c>
      <c r="F3" s="2" t="s">
        <v>73</v>
      </c>
    </row>
    <row r="4" spans="1:6" ht="16" x14ac:dyDescent="0.2">
      <c r="A4" s="2" t="s">
        <v>74</v>
      </c>
      <c r="B4" s="3">
        <v>0.2</v>
      </c>
      <c r="C4" s="2" t="s">
        <v>75</v>
      </c>
      <c r="D4" s="2" t="s">
        <v>76</v>
      </c>
      <c r="E4" s="2" t="s">
        <v>77</v>
      </c>
      <c r="F4" s="2" t="s">
        <v>78</v>
      </c>
    </row>
    <row r="5" spans="1:6" ht="32" x14ac:dyDescent="0.2">
      <c r="A5" s="2" t="s">
        <v>79</v>
      </c>
      <c r="B5" s="3">
        <v>0.2</v>
      </c>
      <c r="C5" s="2" t="s">
        <v>80</v>
      </c>
      <c r="D5" s="2" t="s">
        <v>81</v>
      </c>
      <c r="E5" s="2" t="s">
        <v>82</v>
      </c>
      <c r="F5" s="2" t="s">
        <v>83</v>
      </c>
    </row>
    <row r="6" spans="1:6" ht="16" x14ac:dyDescent="0.2">
      <c r="A6" s="2" t="s">
        <v>84</v>
      </c>
      <c r="B6" s="3">
        <f>SUM(B2:B5)</f>
        <v>1</v>
      </c>
      <c r="C6" s="2"/>
      <c r="D6" s="2"/>
      <c r="E6" s="2"/>
      <c r="F6" s="2"/>
    </row>
    <row r="8" spans="1:6" x14ac:dyDescent="0.2">
      <c r="A8" s="4" t="s">
        <v>85</v>
      </c>
    </row>
    <row r="9" spans="1:6" x14ac:dyDescent="0.2">
      <c r="A9" s="4" t="s">
        <v>86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Use Cases</vt:lpstr>
      <vt:lpstr>Matrix</vt:lpstr>
      <vt:lpstr>Scoring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nurdanikbals5@gmail.com</cp:lastModifiedBy>
  <dcterms:created xsi:type="dcterms:W3CDTF">2026-10-08T14:53:21Z</dcterms:created>
  <dcterms:modified xsi:type="dcterms:W3CDTF">2026-10-09T13:20:34Z</dcterms:modified>
</cp:coreProperties>
</file>