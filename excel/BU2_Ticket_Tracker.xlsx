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mac1/Desktop/app_projects/supplier-data-health-check/excel/"/>
    </mc:Choice>
  </mc:AlternateContent>
  <xr:revisionPtr revIDLastSave="0" documentId="13_ncr:1_{12C95B67-4080-344F-8661-7769D1DDD783}" xr6:coauthVersionLast="47" xr6:coauthVersionMax="47" xr10:uidLastSave="{00000000-0000-0000-0000-000000000000}"/>
  <bookViews>
    <workbookView xWindow="0" yWindow="520" windowWidth="28800" windowHeight="16020" xr2:uid="{00000000-000D-0000-FFFF-FFFF00000000}"/>
  </bookViews>
  <sheets>
    <sheet name="Dashboard" sheetId="5" r:id="rId1"/>
    <sheet name="Tickets" sheetId="1" r:id="rId2"/>
    <sheet name="Lists" sheetId="3" r:id="rId3"/>
    <sheet name="About" sheetId="2" r:id="rId4"/>
    <sheet name="Suppliers" sheetId="4" r:id="rId5"/>
  </sheets>
  <definedNames>
    <definedName name="lstPriority">Lists!$B$2:$B$4</definedName>
    <definedName name="lstStatus">Lists!$A$2:$A$5</definedName>
    <definedName name="Slicer_Status">#N/A</definedName>
  </definedNames>
  <calcPr calcId="191029"/>
  <pivotCaches>
    <pivotCache cacheId="5"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5" l="1"/>
  <c r="B3" i="5"/>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O2" i="1"/>
  <c r="Q2" i="1" s="1"/>
  <c r="O3" i="1"/>
  <c r="Q3" i="1" s="1"/>
  <c r="O4" i="1"/>
  <c r="Q4" i="1" s="1"/>
  <c r="O5" i="1"/>
  <c r="Q5" i="1" s="1"/>
  <c r="O6" i="1"/>
  <c r="Q6" i="1" s="1"/>
  <c r="O7" i="1"/>
  <c r="Q7" i="1" s="1"/>
  <c r="O8" i="1"/>
  <c r="Q8" i="1" s="1"/>
  <c r="O9" i="1"/>
  <c r="Q9" i="1" s="1"/>
  <c r="O10" i="1"/>
  <c r="Q10" i="1" s="1"/>
  <c r="O11" i="1"/>
  <c r="Q11" i="1" s="1"/>
  <c r="O12" i="1"/>
  <c r="Q12" i="1" s="1"/>
  <c r="O13" i="1"/>
  <c r="Q13" i="1" s="1"/>
  <c r="O14" i="1"/>
  <c r="Q14" i="1" s="1"/>
  <c r="O15" i="1"/>
  <c r="Q15" i="1" s="1"/>
  <c r="O16" i="1"/>
  <c r="Q16" i="1" s="1"/>
  <c r="O17" i="1"/>
  <c r="Q17" i="1" s="1"/>
  <c r="O18" i="1"/>
  <c r="Q18" i="1" s="1"/>
  <c r="O19" i="1"/>
  <c r="Q19" i="1" s="1"/>
  <c r="O20" i="1"/>
  <c r="Q20" i="1" s="1"/>
  <c r="O21" i="1"/>
  <c r="Q21" i="1" s="1"/>
  <c r="O22" i="1"/>
  <c r="Q22" i="1" s="1"/>
  <c r="O23" i="1"/>
  <c r="Q23" i="1" s="1"/>
  <c r="O24" i="1"/>
  <c r="Q24" i="1" s="1"/>
  <c r="O25" i="1"/>
  <c r="Q25" i="1" s="1"/>
  <c r="O26" i="1"/>
  <c r="Q26" i="1" s="1"/>
  <c r="O27" i="1"/>
  <c r="Q27" i="1" s="1"/>
  <c r="O28" i="1"/>
  <c r="Q28" i="1" s="1"/>
  <c r="O29" i="1"/>
  <c r="Q29" i="1" s="1"/>
  <c r="O30" i="1"/>
  <c r="Q30" i="1" s="1"/>
  <c r="O31" i="1"/>
  <c r="Q31" i="1" s="1"/>
  <c r="O32" i="1"/>
  <c r="Q32" i="1" s="1"/>
  <c r="O33" i="1"/>
  <c r="Q33" i="1" s="1"/>
  <c r="O34" i="1"/>
  <c r="Q34" i="1" s="1"/>
  <c r="O35" i="1"/>
  <c r="Q35" i="1" s="1"/>
  <c r="O36" i="1"/>
  <c r="Q36" i="1" s="1"/>
  <c r="O37" i="1"/>
  <c r="Q37" i="1" s="1"/>
  <c r="O38" i="1"/>
  <c r="Q38" i="1" s="1"/>
  <c r="O39" i="1"/>
  <c r="Q39" i="1" s="1"/>
  <c r="O40" i="1"/>
  <c r="Q40" i="1" s="1"/>
  <c r="O41" i="1"/>
  <c r="Q41" i="1" s="1"/>
  <c r="O42" i="1"/>
  <c r="Q42" i="1" s="1"/>
  <c r="O43" i="1"/>
  <c r="Q43" i="1" s="1"/>
  <c r="O44" i="1"/>
  <c r="Q44" i="1" s="1"/>
  <c r="O45" i="1"/>
  <c r="Q45" i="1" s="1"/>
  <c r="O46" i="1"/>
  <c r="Q46" i="1" s="1"/>
  <c r="O47" i="1"/>
  <c r="Q47" i="1" s="1"/>
  <c r="O48" i="1"/>
  <c r="Q48" i="1" s="1"/>
  <c r="O49" i="1"/>
  <c r="Q49" i="1" s="1"/>
  <c r="O50" i="1"/>
  <c r="Q50" i="1" s="1"/>
  <c r="O51" i="1"/>
  <c r="Q51" i="1" s="1"/>
  <c r="O52" i="1"/>
  <c r="Q52" i="1" s="1"/>
  <c r="O53" i="1"/>
  <c r="Q53" i="1" s="1"/>
  <c r="O54" i="1"/>
  <c r="Q54" i="1" s="1"/>
  <c r="O55" i="1"/>
  <c r="Q55" i="1" s="1"/>
  <c r="O56" i="1"/>
  <c r="Q56" i="1" s="1"/>
  <c r="O57" i="1"/>
  <c r="Q57" i="1" s="1"/>
  <c r="O58" i="1"/>
  <c r="Q58" i="1" s="1"/>
  <c r="O59" i="1"/>
  <c r="Q59" i="1" s="1"/>
  <c r="O60" i="1"/>
  <c r="Q60" i="1" s="1"/>
  <c r="O61" i="1"/>
  <c r="Q61" i="1" s="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B5" i="5" l="1"/>
</calcChain>
</file>

<file path=xl/sharedStrings.xml><?xml version="1.0" encoding="utf-8"?>
<sst xmlns="http://schemas.openxmlformats.org/spreadsheetml/2006/main" count="1531" uniqueCount="570">
  <si>
    <t>Ticket ID</t>
  </si>
  <si>
    <t>Created On</t>
  </si>
  <si>
    <t>System</t>
  </si>
  <si>
    <t>Record ID</t>
  </si>
  <si>
    <t>Supplier</t>
  </si>
  <si>
    <t>Field</t>
  </si>
  <si>
    <t>DQ Dimension</t>
  </si>
  <si>
    <t>Issue</t>
  </si>
  <si>
    <t>Suggested Action</t>
  </si>
  <si>
    <t>Priority</t>
  </si>
  <si>
    <t>Status</t>
  </si>
  <si>
    <t>Owner</t>
  </si>
  <si>
    <t>Closed On</t>
  </si>
  <si>
    <t>T-0001</t>
  </si>
  <si>
    <t>ERP_B</t>
  </si>
  <si>
    <t>SUP-0065</t>
  </si>
  <si>
    <t>Kappaplast</t>
  </si>
  <si>
    <t>vat_number</t>
  </si>
  <si>
    <t>consistency</t>
  </si>
  <si>
    <t>VAT ID contains spaces</t>
  </si>
  <si>
    <t>Remove spaces during migration</t>
  </si>
  <si>
    <t>Low</t>
  </si>
  <si>
    <t>Closed</t>
  </si>
  <si>
    <t>S. Kaya</t>
  </si>
  <si>
    <t>T-0002</t>
  </si>
  <si>
    <t>SUP-0057</t>
  </si>
  <si>
    <t>Boratronic SAS</t>
  </si>
  <si>
    <t>L. Rossi</t>
  </si>
  <si>
    <t>T-0003</t>
  </si>
  <si>
    <t>SUP-0047</t>
  </si>
  <si>
    <t>LUMENWERK S.R.O.</t>
  </si>
  <si>
    <t>In Progress</t>
  </si>
  <si>
    <t>J. Novak</t>
  </si>
  <si>
    <t>T-0004</t>
  </si>
  <si>
    <t>SUP-0042</t>
  </si>
  <si>
    <t>Voltawerk</t>
  </si>
  <si>
    <t>country</t>
  </si>
  <si>
    <t>Country is not a standard English name / ISO code</t>
  </si>
  <si>
    <t>Map to ISO code DE</t>
  </si>
  <si>
    <t>Medium</t>
  </si>
  <si>
    <t>Open</t>
  </si>
  <si>
    <t>M. Chen</t>
  </si>
  <si>
    <t>T-0005</t>
  </si>
  <si>
    <t>SUP-0016</t>
  </si>
  <si>
    <t>CERROCAST S.R.O.</t>
  </si>
  <si>
    <t>A. Weber</t>
  </si>
  <si>
    <t>T-0006</t>
  </si>
  <si>
    <t>SUP-0018</t>
  </si>
  <si>
    <t>Atlaswerk</t>
  </si>
  <si>
    <t>T-0007</t>
  </si>
  <si>
    <t>SUP-0019</t>
  </si>
  <si>
    <t>Nordplast  s.r.o.</t>
  </si>
  <si>
    <t>T-0008</t>
  </si>
  <si>
    <t>SUP-0027</t>
  </si>
  <si>
    <t>Nordguss</t>
  </si>
  <si>
    <t>T-0009</t>
  </si>
  <si>
    <t>SUP-0034</t>
  </si>
  <si>
    <t>Primaplast</t>
  </si>
  <si>
    <t>T-0010</t>
  </si>
  <si>
    <t>SUP-0032</t>
  </si>
  <si>
    <t>Velawek s.r.o.</t>
  </si>
  <si>
    <t>T-0011</t>
  </si>
  <si>
    <t>SUP-0055</t>
  </si>
  <si>
    <t>Aquaparts  GmbH</t>
  </si>
  <si>
    <t>T-0012</t>
  </si>
  <si>
    <t>SUP-0074</t>
  </si>
  <si>
    <t>Silbercast  GmbH</t>
  </si>
  <si>
    <t>T-0013</t>
  </si>
  <si>
    <t>SUP-0025</t>
  </si>
  <si>
    <t>Rheinmeal s.r.o.</t>
  </si>
  <si>
    <t>T-0014</t>
  </si>
  <si>
    <t>SUP-0006</t>
  </si>
  <si>
    <t>Vltatronic Sp. z o.o.</t>
  </si>
  <si>
    <t>Map to ISO code PL</t>
  </si>
  <si>
    <t>T-0015</t>
  </si>
  <si>
    <t>SUP-0060</t>
  </si>
  <si>
    <t>KRAFTFORM SAS</t>
  </si>
  <si>
    <t>T-0016</t>
  </si>
  <si>
    <t>SUP-0056</t>
  </si>
  <si>
    <t>Teraplast GmbH</t>
  </si>
  <si>
    <t>T-0017</t>
  </si>
  <si>
    <t>SUP-0012</t>
  </si>
  <si>
    <t>Boracast GmbH</t>
  </si>
  <si>
    <t>T-0018</t>
  </si>
  <si>
    <t>SUP-0001</t>
  </si>
  <si>
    <t>FERROMETAL GMBH</t>
  </si>
  <si>
    <t>T-0019</t>
  </si>
  <si>
    <t>SUP-0008</t>
  </si>
  <si>
    <t>KRAFTGUSS S.R.O.</t>
  </si>
  <si>
    <t>T-0020</t>
  </si>
  <si>
    <t>SUP-0005</t>
  </si>
  <si>
    <t>Ferrocast  GmbH</t>
  </si>
  <si>
    <t>T-0021</t>
  </si>
  <si>
    <t>SUP-0039</t>
  </si>
  <si>
    <t>Atlastronc GmbH</t>
  </si>
  <si>
    <t>T-0022</t>
  </si>
  <si>
    <t>SUP-0040</t>
  </si>
  <si>
    <t>Ventoguss</t>
  </si>
  <si>
    <t>T-0023</t>
  </si>
  <si>
    <t>SUP-0058</t>
  </si>
  <si>
    <t>Deltaflex  Sp.  z  o.o.</t>
  </si>
  <si>
    <t>T-0024</t>
  </si>
  <si>
    <t>SUP-0024</t>
  </si>
  <si>
    <t>Velacast  GmbH</t>
  </si>
  <si>
    <t>T-0025</t>
  </si>
  <si>
    <t>SUP-0069</t>
  </si>
  <si>
    <t>Kraftflex</t>
  </si>
  <si>
    <t>T-0026</t>
  </si>
  <si>
    <t>ERP_A</t>
  </si>
  <si>
    <t>0000100055</t>
  </si>
  <si>
    <t>Deltaplast GmbH</t>
  </si>
  <si>
    <t>terms</t>
  </si>
  <si>
    <t>completeness</t>
  </si>
  <si>
    <t>Mandatory field 'terms' is empty</t>
  </si>
  <si>
    <t>Request value from supplier / purchasing</t>
  </si>
  <si>
    <t>T-0027</t>
  </si>
  <si>
    <t>0000100186</t>
  </si>
  <si>
    <t>Alpentronic GmbH</t>
  </si>
  <si>
    <t>vat</t>
  </si>
  <si>
    <t>Mandatory field 'vat' is empty</t>
  </si>
  <si>
    <t>High</t>
  </si>
  <si>
    <t>T-0028</t>
  </si>
  <si>
    <t>0000100334</t>
  </si>
  <si>
    <t>Lumencast GmbH</t>
  </si>
  <si>
    <t>iban</t>
  </si>
  <si>
    <t>Mandatory field 'iban' is empty</t>
  </si>
  <si>
    <t>T-0029</t>
  </si>
  <si>
    <t>T-0030</t>
  </si>
  <si>
    <t>0000100247</t>
  </si>
  <si>
    <t>Voltaflex GmbH</t>
  </si>
  <si>
    <t>T-0031</t>
  </si>
  <si>
    <t>0000100168</t>
  </si>
  <si>
    <t>Kraftseal S.r.l.</t>
  </si>
  <si>
    <t>T-0032</t>
  </si>
  <si>
    <t>0000100216</t>
  </si>
  <si>
    <t>Alpenwerk GmbH</t>
  </si>
  <si>
    <t>T-0033</t>
  </si>
  <si>
    <t>0000100367</t>
  </si>
  <si>
    <t>Ferroparts GmbH</t>
  </si>
  <si>
    <t>validity</t>
  </si>
  <si>
    <t>VAT ID does not match the DE format</t>
  </si>
  <si>
    <t>Verify VAT ID (e.g. EU VIES check)</t>
  </si>
  <si>
    <t>T-0034</t>
  </si>
  <si>
    <t>0000100153</t>
  </si>
  <si>
    <t>Atlasplast Sp. z o.o.</t>
  </si>
  <si>
    <t>VAT ID does not match the PL format</t>
  </si>
  <si>
    <t>T-0035</t>
  </si>
  <si>
    <t>0000100162</t>
  </si>
  <si>
    <t>Tauroform Sp. z o.o.</t>
  </si>
  <si>
    <t>Waiting</t>
  </si>
  <si>
    <t>T-0036</t>
  </si>
  <si>
    <t>0000100071</t>
  </si>
  <si>
    <t>Cerrowerk Sp. z o.o.</t>
  </si>
  <si>
    <t>T-0037</t>
  </si>
  <si>
    <t>0000100011</t>
  </si>
  <si>
    <t>Novaform GmbH</t>
  </si>
  <si>
    <t>IBAN fails length or check-digit test</t>
  </si>
  <si>
    <t>Block payments until bank data is confirmed</t>
  </si>
  <si>
    <t>T-0038</t>
  </si>
  <si>
    <t>0000100387</t>
  </si>
  <si>
    <t>Lumenparts GmbH</t>
  </si>
  <si>
    <t>T-0039</t>
  </si>
  <si>
    <t>0000100019</t>
  </si>
  <si>
    <t>Ferrocast GmbH</t>
  </si>
  <si>
    <t>T-0040</t>
  </si>
  <si>
    <t>0000100314</t>
  </si>
  <si>
    <t>Voltaplast GmbH</t>
  </si>
  <si>
    <t>T-0041</t>
  </si>
  <si>
    <t>0000100302</t>
  </si>
  <si>
    <t>Boraline GmbH</t>
  </si>
  <si>
    <t>T-0042</t>
  </si>
  <si>
    <t>0000100127</t>
  </si>
  <si>
    <t>Rheinplast S.r.l.</t>
  </si>
  <si>
    <t>T-0043</t>
  </si>
  <si>
    <t>0000100007</t>
  </si>
  <si>
    <t>Terraparts GmbH</t>
  </si>
  <si>
    <t>T-0044</t>
  </si>
  <si>
    <t>0000100224</t>
  </si>
  <si>
    <t>Ventometal GmbH</t>
  </si>
  <si>
    <t>T-0045</t>
  </si>
  <si>
    <t>0000100030</t>
  </si>
  <si>
    <t>Nordwerk GmbH</t>
  </si>
  <si>
    <t>VAT ID does not match the AT format</t>
  </si>
  <si>
    <t>T-0046</t>
  </si>
  <si>
    <t>0000100132</t>
  </si>
  <si>
    <t>Silberwerk s.r.o.</t>
  </si>
  <si>
    <t>T-0047</t>
  </si>
  <si>
    <t>SUP-0023</t>
  </si>
  <si>
    <t>Cerroline GmbH</t>
  </si>
  <si>
    <t>T-0048</t>
  </si>
  <si>
    <t>T-0049</t>
  </si>
  <si>
    <t>SUP-0054</t>
  </si>
  <si>
    <t>Boralne GmbH</t>
  </si>
  <si>
    <t>postcode</t>
  </si>
  <si>
    <t>Mandatory field 'postcode' is empty</t>
  </si>
  <si>
    <t>T-0050</t>
  </si>
  <si>
    <t>SUP-0041</t>
  </si>
  <si>
    <t>Cerroparts</t>
  </si>
  <si>
    <t>T-0051</t>
  </si>
  <si>
    <t>Postcode length is wrong for DE</t>
  </si>
  <si>
    <t>Correct postcode</t>
  </si>
  <si>
    <t>T-0052</t>
  </si>
  <si>
    <t>SUP-0044</t>
  </si>
  <si>
    <t>Novasel GmbH</t>
  </si>
  <si>
    <t>T-0053</t>
  </si>
  <si>
    <t>SUP-0061</t>
  </si>
  <si>
    <t>Boraetal Sp. z o.o.</t>
  </si>
  <si>
    <t>T-0054</t>
  </si>
  <si>
    <t>SUP-0030</t>
  </si>
  <si>
    <t>Kraftcast  Sp.  z  o.o.</t>
  </si>
  <si>
    <t>Postcode length is wrong for PL</t>
  </si>
  <si>
    <t>T-0055</t>
  </si>
  <si>
    <t>T-0056</t>
  </si>
  <si>
    <t>SUP-0020</t>
  </si>
  <si>
    <t>Polarmetal</t>
  </si>
  <si>
    <t>T-0057</t>
  </si>
  <si>
    <t>0000100234</t>
  </si>
  <si>
    <t>Nordcast Sp. z o.o.</t>
  </si>
  <si>
    <t>record</t>
  </si>
  <si>
    <t>uniqueness</t>
  </si>
  <si>
    <t>Possible duplicate of 0000100417 (Same VAT ID)</t>
  </si>
  <si>
    <t>Merge into one record before migration</t>
  </si>
  <si>
    <t>T-0058</t>
  </si>
  <si>
    <t>0000100238</t>
  </si>
  <si>
    <t>Primaform S.r.l.</t>
  </si>
  <si>
    <t>Possible duplicate of 0000100422 (Same VAT ID)</t>
  </si>
  <si>
    <t>T-0059</t>
  </si>
  <si>
    <t>0000100177</t>
  </si>
  <si>
    <t>Atlasguss GmbH</t>
  </si>
  <si>
    <t>Possible duplicate of 0000100412 (Same VAT ID)</t>
  </si>
  <si>
    <t>T-0060</t>
  </si>
  <si>
    <t>0000100418</t>
  </si>
  <si>
    <t>Lumenform  GmbH</t>
  </si>
  <si>
    <t>Possible duplicate of 0000100192 (Same VAT ID)</t>
  </si>
  <si>
    <t>BU2 Ticket Tracker - Supplier master-data migration (practice file)</t>
  </si>
  <si>
    <t>Issues come from the M1 data-quality checks on a SYNTHETIC dataset.</t>
  </si>
  <si>
    <t>Created date, status, owner and closed date are simulated for the Excel exercises. Owners are fictional.</t>
  </si>
  <si>
    <t>Golden ID</t>
  </si>
  <si>
    <t>Golden Name</t>
  </si>
  <si>
    <t>Segment</t>
  </si>
  <si>
    <t>G0001</t>
  </si>
  <si>
    <t>Reliable, lower spend</t>
  </si>
  <si>
    <t>0000100254</t>
  </si>
  <si>
    <t>G0002</t>
  </si>
  <si>
    <t>Ferroform s.r.o.</t>
  </si>
  <si>
    <t>Critical: quality and delivery</t>
  </si>
  <si>
    <t>SUP-0043</t>
  </si>
  <si>
    <t>0000100075</t>
  </si>
  <si>
    <t>G0003</t>
  </si>
  <si>
    <t>Atlaswerk GmbH</t>
  </si>
  <si>
    <t>Delivery risk</t>
  </si>
  <si>
    <t>0000100099</t>
  </si>
  <si>
    <t>G0004</t>
  </si>
  <si>
    <t>Ventoline S.r.l.</t>
  </si>
  <si>
    <t>SUP-0021</t>
  </si>
  <si>
    <t>0000100048</t>
  </si>
  <si>
    <t>G0005</t>
  </si>
  <si>
    <t>Lumenflex SAS</t>
  </si>
  <si>
    <t>0000100206</t>
  </si>
  <si>
    <t>G0006</t>
  </si>
  <si>
    <t>Aquametal GmbH</t>
  </si>
  <si>
    <t>SUP-0036</t>
  </si>
  <si>
    <t>0000100046</t>
  </si>
  <si>
    <t>G0007</t>
  </si>
  <si>
    <t>Orbiscast s.r.o.</t>
  </si>
  <si>
    <t>0000100351</t>
  </si>
  <si>
    <t>G0008</t>
  </si>
  <si>
    <t>Polarparts GmbH</t>
  </si>
  <si>
    <t>G0009</t>
  </si>
  <si>
    <t>Strategic and reliable</t>
  </si>
  <si>
    <t>0000100203</t>
  </si>
  <si>
    <t>G0010</t>
  </si>
  <si>
    <t>Deltaguss GmbH</t>
  </si>
  <si>
    <t>0000100069</t>
  </si>
  <si>
    <t>G0011</t>
  </si>
  <si>
    <t>Cerrocast s.r.o.</t>
  </si>
  <si>
    <t>0000100169</t>
  </si>
  <si>
    <t>G0012</t>
  </si>
  <si>
    <t>Velawerk s.r.o.</t>
  </si>
  <si>
    <t>0000100084</t>
  </si>
  <si>
    <t>G0013</t>
  </si>
  <si>
    <t>Tauroparts S.r.l.</t>
  </si>
  <si>
    <t>0000100271</t>
  </si>
  <si>
    <t>G0014</t>
  </si>
  <si>
    <t>Velaparts s.r.o.</t>
  </si>
  <si>
    <t>Quality risk</t>
  </si>
  <si>
    <t>0000100388</t>
  </si>
  <si>
    <t>G0015</t>
  </si>
  <si>
    <t>Silberline S.r.l.</t>
  </si>
  <si>
    <t>G0016</t>
  </si>
  <si>
    <t>0000100014</t>
  </si>
  <si>
    <t>G0017</t>
  </si>
  <si>
    <t>Novawerk GmbH</t>
  </si>
  <si>
    <t>SUP-0003</t>
  </si>
  <si>
    <t>G0018</t>
  </si>
  <si>
    <t>0000100027</t>
  </si>
  <si>
    <t>G0019</t>
  </si>
  <si>
    <t>Kraftguss s.r.o.</t>
  </si>
  <si>
    <t>0000100154</t>
  </si>
  <si>
    <t>G0020</t>
  </si>
  <si>
    <t>Boraseal GmbH</t>
  </si>
  <si>
    <t>SUP-0029</t>
  </si>
  <si>
    <t>0000100115</t>
  </si>
  <si>
    <t>G0021</t>
  </si>
  <si>
    <t>Velaguss Sp. z o.o.</t>
  </si>
  <si>
    <t>SUP-0022</t>
  </si>
  <si>
    <t>0000100142</t>
  </si>
  <si>
    <t>G0022</t>
  </si>
  <si>
    <t>Velacast GmbH</t>
  </si>
  <si>
    <t>0000100230</t>
  </si>
  <si>
    <t>G0023</t>
  </si>
  <si>
    <t>Taurometal Sp. z o.o.</t>
  </si>
  <si>
    <t>0000100417</t>
  </si>
  <si>
    <t>G0024</t>
  </si>
  <si>
    <t>NORDCAST SP. Z O.O.</t>
  </si>
  <si>
    <t>0000100136</t>
  </si>
  <si>
    <t>G0025</t>
  </si>
  <si>
    <t>0000100338</t>
  </si>
  <si>
    <t>G0026</t>
  </si>
  <si>
    <t>Kappaplast GmbH</t>
  </si>
  <si>
    <t>0000100422</t>
  </si>
  <si>
    <t>G0027</t>
  </si>
  <si>
    <t>PRIMAFORM S.R.L.</t>
  </si>
  <si>
    <t>SUP-0038</t>
  </si>
  <si>
    <t>0000100261</t>
  </si>
  <si>
    <t>G0028</t>
  </si>
  <si>
    <t>Novaseal GmbH</t>
  </si>
  <si>
    <t>0000100108</t>
  </si>
  <si>
    <t>G0029</t>
  </si>
  <si>
    <t>Ventoseal GmbH</t>
  </si>
  <si>
    <t>0000100401</t>
  </si>
  <si>
    <t>G0030</t>
  </si>
  <si>
    <t>Silbermetal s.r.o.</t>
  </si>
  <si>
    <t>SUP-0075</t>
  </si>
  <si>
    <t>G0031</t>
  </si>
  <si>
    <t>0000100386</t>
  </si>
  <si>
    <t>G0032</t>
  </si>
  <si>
    <t>Voltacast GmbH</t>
  </si>
  <si>
    <t>0000100190</t>
  </si>
  <si>
    <t>G0033</t>
  </si>
  <si>
    <t>Primaplast S.r.l.</t>
  </si>
  <si>
    <t>0000100311</t>
  </si>
  <si>
    <t>G0034</t>
  </si>
  <si>
    <t>Novametal Sp. z o.o.</t>
  </si>
  <si>
    <t>SUP-0059</t>
  </si>
  <si>
    <t>G0035</t>
  </si>
  <si>
    <t>SUP-0037</t>
  </si>
  <si>
    <t>0000100412</t>
  </si>
  <si>
    <t>G0036</t>
  </si>
  <si>
    <t>Atlasguss  GmbH</t>
  </si>
  <si>
    <t>0000100043</t>
  </si>
  <si>
    <t>G0037</t>
  </si>
  <si>
    <t>Ferroflex GmbH</t>
  </si>
  <si>
    <t>SUP-0011</t>
  </si>
  <si>
    <t>0000100244</t>
  </si>
  <si>
    <t>G0038</t>
  </si>
  <si>
    <t>Voltawerk GmbH</t>
  </si>
  <si>
    <t>G0039</t>
  </si>
  <si>
    <t>0000100151</t>
  </si>
  <si>
    <t>G0040</t>
  </si>
  <si>
    <t>Nordguss SAS</t>
  </si>
  <si>
    <t>G0041</t>
  </si>
  <si>
    <t>G0042</t>
  </si>
  <si>
    <t>G0043</t>
  </si>
  <si>
    <t>0000100299</t>
  </si>
  <si>
    <t>G0044</t>
  </si>
  <si>
    <t>Ventoplast GmbH</t>
  </si>
  <si>
    <t>SUP-0052</t>
  </si>
  <si>
    <t>G0045</t>
  </si>
  <si>
    <t>0000100377</t>
  </si>
  <si>
    <t>G0046</t>
  </si>
  <si>
    <t>Nordline GmbH</t>
  </si>
  <si>
    <t>SUP-0073</t>
  </si>
  <si>
    <t>G0047</t>
  </si>
  <si>
    <t>G0048</t>
  </si>
  <si>
    <t>0000100180</t>
  </si>
  <si>
    <t>G0049</t>
  </si>
  <si>
    <t>Novaline GmbH</t>
  </si>
  <si>
    <t>SUP-0033</t>
  </si>
  <si>
    <t>0000100395</t>
  </si>
  <si>
    <t>G0050</t>
  </si>
  <si>
    <t>Atlasflex GmbH</t>
  </si>
  <si>
    <t>G0051</t>
  </si>
  <si>
    <t>0000100026</t>
  </si>
  <si>
    <t>G0052</t>
  </si>
  <si>
    <t>Krafttec GmbH</t>
  </si>
  <si>
    <t>SUP-0007</t>
  </si>
  <si>
    <t>0000100192</t>
  </si>
  <si>
    <t>G0053</t>
  </si>
  <si>
    <t>Lumenform GmbH</t>
  </si>
  <si>
    <t>0000100398</t>
  </si>
  <si>
    <t>G0054</t>
  </si>
  <si>
    <t>Terratronic GmbH</t>
  </si>
  <si>
    <t>0000100040</t>
  </si>
  <si>
    <t>G0055</t>
  </si>
  <si>
    <t>Atlasform s.r.o.</t>
  </si>
  <si>
    <t>SUP-0010</t>
  </si>
  <si>
    <t>0000100325</t>
  </si>
  <si>
    <t>G0056</t>
  </si>
  <si>
    <t>Deltaform Sp. z o.o.</t>
  </si>
  <si>
    <t>0000100358</t>
  </si>
  <si>
    <t>G0057</t>
  </si>
  <si>
    <t>Ventotronic GmbH</t>
  </si>
  <si>
    <t>SUP-0070</t>
  </si>
  <si>
    <t>G0058</t>
  </si>
  <si>
    <t>0000100368</t>
  </si>
  <si>
    <t>G0059</t>
  </si>
  <si>
    <t>Alpencast Sp. z o.o.</t>
  </si>
  <si>
    <t>SUP-0072</t>
  </si>
  <si>
    <t>0000100263</t>
  </si>
  <si>
    <t>G0060</t>
  </si>
  <si>
    <t>Atlasparts Sp. z o.o.</t>
  </si>
  <si>
    <t>0000100356</t>
  </si>
  <si>
    <t>G0061</t>
  </si>
  <si>
    <t>Kraftflex s.r.o.</t>
  </si>
  <si>
    <t>G0062</t>
  </si>
  <si>
    <t>0000100286</t>
  </si>
  <si>
    <t>G0063</t>
  </si>
  <si>
    <t>Polarcast Sp. z o.o.</t>
  </si>
  <si>
    <t>0000100320</t>
  </si>
  <si>
    <t>G0064</t>
  </si>
  <si>
    <t>Deltacast GmbH</t>
  </si>
  <si>
    <t>0000100391</t>
  </si>
  <si>
    <t>G0065</t>
  </si>
  <si>
    <t>Kappaform GmbH</t>
  </si>
  <si>
    <t>0000100310</t>
  </si>
  <si>
    <t>G0066</t>
  </si>
  <si>
    <t>0000100090</t>
  </si>
  <si>
    <t>G0067</t>
  </si>
  <si>
    <t>Polarmetal s.r.o.</t>
  </si>
  <si>
    <t>0000100029</t>
  </si>
  <si>
    <t>G0068</t>
  </si>
  <si>
    <t>Deltametal Sp. z o.o.</t>
  </si>
  <si>
    <t>0000100277</t>
  </si>
  <si>
    <t>G0069</t>
  </si>
  <si>
    <t>Lumenwerk s.r.o.</t>
  </si>
  <si>
    <t>G0070</t>
  </si>
  <si>
    <t>SUP-0002</t>
  </si>
  <si>
    <t>G0071</t>
  </si>
  <si>
    <t>G0072</t>
  </si>
  <si>
    <t>0000100243</t>
  </si>
  <si>
    <t>G0073</t>
  </si>
  <si>
    <t>Ventoguss GmbH</t>
  </si>
  <si>
    <t>0000100196</t>
  </si>
  <si>
    <t>G0074</t>
  </si>
  <si>
    <t>Alpenguss SAS</t>
  </si>
  <si>
    <t>0000100035</t>
  </si>
  <si>
    <t>G0075</t>
  </si>
  <si>
    <t>Silberguss GmbH</t>
  </si>
  <si>
    <t>SUP-0009</t>
  </si>
  <si>
    <t>0000100210</t>
  </si>
  <si>
    <t>G0076</t>
  </si>
  <si>
    <t>Aquatronic GmbH</t>
  </si>
  <si>
    <t>0000100366</t>
  </si>
  <si>
    <t>G0077</t>
  </si>
  <si>
    <t>Orbisparts GmbH</t>
  </si>
  <si>
    <t>SUP-0071</t>
  </si>
  <si>
    <t>0000100406</t>
  </si>
  <si>
    <t>G0078</t>
  </si>
  <si>
    <t>Velaseal s.r.o.</t>
  </si>
  <si>
    <t>0000100060</t>
  </si>
  <si>
    <t>G0079</t>
  </si>
  <si>
    <t>Primaparts GmbH</t>
  </si>
  <si>
    <t>SUP-0015</t>
  </si>
  <si>
    <t>0000100292</t>
  </si>
  <si>
    <t>G0080</t>
  </si>
  <si>
    <t>Velaline S.r.l.</t>
  </si>
  <si>
    <t>0000100120</t>
  </si>
  <si>
    <t>G0081</t>
  </si>
  <si>
    <t>Aquaplast s.r.o.</t>
  </si>
  <si>
    <t>0000100405</t>
  </si>
  <si>
    <t>G0082</t>
  </si>
  <si>
    <t>Ferrotronic S.r.l.</t>
  </si>
  <si>
    <t>0000100342</t>
  </si>
  <si>
    <t>G0083</t>
  </si>
  <si>
    <t>Kappawerk GmbH</t>
  </si>
  <si>
    <t>G0084</t>
  </si>
  <si>
    <t>0000100346</t>
  </si>
  <si>
    <t>G0085</t>
  </si>
  <si>
    <t>Voltatec GmbH</t>
  </si>
  <si>
    <t>SUP-0051</t>
  </si>
  <si>
    <t>G0086</t>
  </si>
  <si>
    <t>Terraseal  SAS</t>
  </si>
  <si>
    <t>SUP-0014</t>
  </si>
  <si>
    <t>G0087</t>
  </si>
  <si>
    <t>Polarplast  S.r.l.</t>
  </si>
  <si>
    <t>SUP-0013</t>
  </si>
  <si>
    <t>G0088</t>
  </si>
  <si>
    <t>Orbisguss</t>
  </si>
  <si>
    <t>SUP-0053</t>
  </si>
  <si>
    <t>G0089</t>
  </si>
  <si>
    <t>Boratc S.r.l.</t>
  </si>
  <si>
    <t>SUP-0028</t>
  </si>
  <si>
    <t>G0090</t>
  </si>
  <si>
    <t>Tauroseal</t>
  </si>
  <si>
    <t>G0091</t>
  </si>
  <si>
    <t>SUP-0046</t>
  </si>
  <si>
    <t>G0092</t>
  </si>
  <si>
    <t>RHEINSEAL GMBH</t>
  </si>
  <si>
    <t>SUP-0031</t>
  </si>
  <si>
    <t>G0093</t>
  </si>
  <si>
    <t>Orbistronic</t>
  </si>
  <si>
    <t>G0094</t>
  </si>
  <si>
    <t>SUP-0067</t>
  </si>
  <si>
    <t>G0095</t>
  </si>
  <si>
    <t>Cerrotec GmbH</t>
  </si>
  <si>
    <t>G0096</t>
  </si>
  <si>
    <t>G0097</t>
  </si>
  <si>
    <t>SUP-0017</t>
  </si>
  <si>
    <t>G0098</t>
  </si>
  <si>
    <t>KAPPATEC GMBH</t>
  </si>
  <si>
    <t>SUP-0050</t>
  </si>
  <si>
    <t>G0099</t>
  </si>
  <si>
    <t>Boraflex  s.r.o.</t>
  </si>
  <si>
    <t>G0100</t>
  </si>
  <si>
    <t>SUP-0066</t>
  </si>
  <si>
    <t>G0101</t>
  </si>
  <si>
    <t>RHEINGUSS SAS</t>
  </si>
  <si>
    <t>SUP-0004</t>
  </si>
  <si>
    <t>G0102</t>
  </si>
  <si>
    <t>Deltaarts SAS</t>
  </si>
  <si>
    <t>SUP-0063</t>
  </si>
  <si>
    <t>G0103</t>
  </si>
  <si>
    <t>TAUROGUSS GMBH</t>
  </si>
  <si>
    <t>SUP-0064</t>
  </si>
  <si>
    <t>G0104</t>
  </si>
  <si>
    <t>VELAFORM GMBH</t>
  </si>
  <si>
    <t>G0105</t>
  </si>
  <si>
    <t>SUP-0035</t>
  </si>
  <si>
    <t>G0106</t>
  </si>
  <si>
    <t>Veltec GmbH</t>
  </si>
  <si>
    <t>SUP-0062</t>
  </si>
  <si>
    <t>G0107</t>
  </si>
  <si>
    <t>Nordtronic</t>
  </si>
  <si>
    <t>G0108</t>
  </si>
  <si>
    <t>G0109</t>
  </si>
  <si>
    <t>G0110</t>
  </si>
  <si>
    <t>G0111</t>
  </si>
  <si>
    <t>G0112</t>
  </si>
  <si>
    <t>G0113</t>
  </si>
  <si>
    <t>SUP-0045</t>
  </si>
  <si>
    <t>G0114</t>
  </si>
  <si>
    <t>Orbisflex GmbH</t>
  </si>
  <si>
    <t>SUP-0049</t>
  </si>
  <si>
    <t>G0115</t>
  </si>
  <si>
    <t>Deltatc s.r.o.</t>
  </si>
  <si>
    <t>G0116</t>
  </si>
  <si>
    <t>G0117</t>
  </si>
  <si>
    <t>SUP-0068</t>
  </si>
  <si>
    <t>G0118</t>
  </si>
  <si>
    <t>Cerroform  S.r.l.</t>
  </si>
  <si>
    <t>SUP-0026</t>
  </si>
  <si>
    <t>G0119</t>
  </si>
  <si>
    <t>Voltasal Sp. z o.o.</t>
  </si>
  <si>
    <t>SUP-0048</t>
  </si>
  <si>
    <t>G0120</t>
  </si>
  <si>
    <t>Taurotec  GmbH</t>
  </si>
  <si>
    <t>Age (days)</t>
  </si>
  <si>
    <t>SLA (days)</t>
  </si>
  <si>
    <t>SLA Status</t>
  </si>
  <si>
    <t>BU2 Ticket Dashboard</t>
  </si>
  <si>
    <t>Total tickets</t>
  </si>
  <si>
    <t>Open tickets</t>
  </si>
  <si>
    <t>Open &amp; SLA breached</t>
  </si>
  <si>
    <t>Row Labels</t>
  </si>
  <si>
    <t>Grand Total</t>
  </si>
  <si>
    <t>Column Labels</t>
  </si>
  <si>
    <t>Breached</t>
  </si>
  <si>
    <t>OK</t>
  </si>
  <si>
    <t>Count of Ticket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</si>
</sst>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164" fontId="0" fillId="0" borderId="0" xfId="0" applyNumberFormat="1"/>
    <xf numFmtId="49" fontId="0" fillId="0" borderId="0" xfId="0" applyNumberFormat="1"/>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164" formatCode="yyyy\-mm\-dd"/>
    </dxf>
    <dxf>
      <numFmt numFmtId="164" formatCode="yyyy\-mm\-dd"/>
    </dxf>
    <dxf>
      <font>
        <b/>
        <i val="0"/>
        <strike val="0"/>
        <condense val="0"/>
        <extend val="0"/>
        <outline val="0"/>
        <shadow val="0"/>
        <u val="none"/>
        <vertAlign val="baseline"/>
        <sz val="11"/>
        <color auto="1"/>
        <name val="Calibri"/>
        <family val="2"/>
        <scheme val="non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4</xdr:col>
      <xdr:colOff>381000</xdr:colOff>
      <xdr:row>7</xdr:row>
      <xdr:rowOff>0</xdr:rowOff>
    </xdr:from>
    <xdr:to>
      <xdr:col>6</xdr:col>
      <xdr:colOff>558800</xdr:colOff>
      <xdr:row>19</xdr:row>
      <xdr:rowOff>142869</xdr:rowOff>
    </xdr:to>
    <mc:AlternateContent xmlns:mc="http://schemas.openxmlformats.org/markup-compatibility/2006">
      <mc:Choice xmlns:a14="http://schemas.microsoft.com/office/drawing/2010/main" Requires="a14">
        <xdr:graphicFrame macro="">
          <xdr:nvGraphicFramePr>
            <xdr:cNvPr id="2" name="Status">
              <a:extLst>
                <a:ext uri="{FF2B5EF4-FFF2-40B4-BE49-F238E27FC236}">
                  <a16:creationId xmlns:a16="http://schemas.microsoft.com/office/drawing/2014/main" id="{C3E8B6AD-1135-8712-C1E0-141103FA0990}"/>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4254500" y="13335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c" refreshedDate="46300.604069444445" createdVersion="8" refreshedVersion="8" minRefreshableVersion="3" recordCount="60" xr:uid="{E198A4B9-9466-014B-B142-729ED828A4DF}">
  <cacheSource type="worksheet">
    <worksheetSource name="tblTickets"/>
  </cacheSource>
  <cacheFields count="17">
    <cacheField name="Ticket ID" numFmtId="0">
      <sharedItems/>
    </cacheField>
    <cacheField name="Created On" numFmtId="164">
      <sharedItems containsSemiMixedTypes="0" containsNonDate="0" containsDate="1" containsString="0" minDate="2026-09-01T00:00:00" maxDate="2026-10-04T00:00:00"/>
    </cacheField>
    <cacheField name="System" numFmtId="0">
      <sharedItems/>
    </cacheField>
    <cacheField name="Record ID" numFmtId="0">
      <sharedItems/>
    </cacheField>
    <cacheField name="Supplier" numFmtId="0">
      <sharedItems/>
    </cacheField>
    <cacheField name="Field" numFmtId="0">
      <sharedItems/>
    </cacheField>
    <cacheField name="DQ Dimension" numFmtId="0">
      <sharedItems/>
    </cacheField>
    <cacheField name="Issue" numFmtId="0">
      <sharedItems/>
    </cacheField>
    <cacheField name="Suggested Action" numFmtId="0">
      <sharedItems/>
    </cacheField>
    <cacheField name="Priority" numFmtId="0">
      <sharedItems/>
    </cacheField>
    <cacheField name="Status" numFmtId="0">
      <sharedItems count="4">
        <s v="Closed"/>
        <s v="In Progress"/>
        <s v="Open"/>
        <s v="Waiting"/>
      </sharedItems>
    </cacheField>
    <cacheField name="Owner" numFmtId="0">
      <sharedItems/>
    </cacheField>
    <cacheField name="Closed On" numFmtId="164">
      <sharedItems containsNonDate="0" containsDate="1" containsString="0" containsBlank="1" minDate="2026-09-03T00:00:00" maxDate="2026-10-06T00:00:00"/>
    </cacheField>
    <cacheField name="Segment" numFmtId="0">
      <sharedItems count="5">
        <s v="Critical: quality and delivery"/>
        <s v="Strategic and reliable"/>
        <s v="Delivery risk"/>
        <s v="Reliable, lower spend"/>
        <s v="Quality risk"/>
      </sharedItems>
    </cacheField>
    <cacheField name="Age (days)" numFmtId="0">
      <sharedItems containsSemiMixedTypes="0" containsString="0" containsNumber="1" containsInteger="1" minValue="1" maxValue="34"/>
    </cacheField>
    <cacheField name="SLA (days)" numFmtId="0">
      <sharedItems containsSemiMixedTypes="0" containsString="0" containsNumber="1" containsInteger="1" minValue="5" maxValue="20"/>
    </cacheField>
    <cacheField name="SLA Status" numFmtId="0">
      <sharedItems count="2">
        <s v="OK"/>
        <s v="Breached"/>
      </sharedItems>
    </cacheField>
  </cacheFields>
  <extLst>
    <ext xmlns:x14="http://schemas.microsoft.com/office/spreadsheetml/2009/9/main" uri="{725AE2AE-9491-48be-B2B4-4EB974FC3084}">
      <x14:pivotCacheDefinition pivotCacheId="11818725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s v="T-0001"/>
    <d v="2026-09-29T00:00:00"/>
    <s v="ERP_B"/>
    <s v="SUP-0065"/>
    <s v="Kappaplast"/>
    <s v="vat_number"/>
    <s v="consistency"/>
    <s v="VAT ID contains spaces"/>
    <s v="Remove spaces during migration"/>
    <s v="Low"/>
    <x v="0"/>
    <s v="S. Kaya"/>
    <d v="2026-10-05T00:00:00"/>
    <x v="0"/>
    <n v="6"/>
    <n v="20"/>
    <x v="0"/>
  </r>
  <r>
    <s v="T-0002"/>
    <d v="2026-10-03T00:00:00"/>
    <s v="ERP_B"/>
    <s v="SUP-0057"/>
    <s v="Boratronic SAS"/>
    <s v="vat_number"/>
    <s v="consistency"/>
    <s v="VAT ID contains spaces"/>
    <s v="Remove spaces during migration"/>
    <s v="Low"/>
    <x v="0"/>
    <s v="L. Rossi"/>
    <d v="2026-10-05T00:00:00"/>
    <x v="1"/>
    <n v="2"/>
    <n v="20"/>
    <x v="0"/>
  </r>
  <r>
    <s v="T-0003"/>
    <d v="2026-10-03T00:00:00"/>
    <s v="ERP_B"/>
    <s v="SUP-0047"/>
    <s v="LUMENWERK S.R.O."/>
    <s v="vat_number"/>
    <s v="consistency"/>
    <s v="VAT ID contains spaces"/>
    <s v="Remove spaces during migration"/>
    <s v="Low"/>
    <x v="1"/>
    <s v="J. Novak"/>
    <m/>
    <x v="0"/>
    <n v="2"/>
    <n v="20"/>
    <x v="0"/>
  </r>
  <r>
    <s v="T-0004"/>
    <d v="2026-09-12T00:00:00"/>
    <s v="ERP_B"/>
    <s v="SUP-0042"/>
    <s v="Voltawerk"/>
    <s v="country"/>
    <s v="consistency"/>
    <s v="Country is not a standard English name / ISO code"/>
    <s v="Map to ISO code DE"/>
    <s v="Medium"/>
    <x v="2"/>
    <s v="M. Chen"/>
    <m/>
    <x v="0"/>
    <n v="23"/>
    <n v="10"/>
    <x v="1"/>
  </r>
  <r>
    <s v="T-0005"/>
    <d v="2026-09-10T00:00:00"/>
    <s v="ERP_B"/>
    <s v="SUP-0016"/>
    <s v="CERROCAST S.R.O."/>
    <s v="vat_number"/>
    <s v="consistency"/>
    <s v="VAT ID contains spaces"/>
    <s v="Remove spaces during migration"/>
    <s v="Low"/>
    <x v="2"/>
    <s v="A. Weber"/>
    <m/>
    <x v="0"/>
    <n v="25"/>
    <n v="20"/>
    <x v="1"/>
  </r>
  <r>
    <s v="T-0006"/>
    <d v="2026-09-26T00:00:00"/>
    <s v="ERP_B"/>
    <s v="SUP-0018"/>
    <s v="Atlaswerk"/>
    <s v="vat_number"/>
    <s v="consistency"/>
    <s v="VAT ID contains spaces"/>
    <s v="Remove spaces during migration"/>
    <s v="Low"/>
    <x v="0"/>
    <s v="L. Rossi"/>
    <d v="2026-10-05T00:00:00"/>
    <x v="2"/>
    <n v="9"/>
    <n v="20"/>
    <x v="0"/>
  </r>
  <r>
    <s v="T-0007"/>
    <d v="2026-09-01T00:00:00"/>
    <s v="ERP_B"/>
    <s v="SUP-0019"/>
    <s v="Nordplast  s.r.o."/>
    <s v="vat_number"/>
    <s v="consistency"/>
    <s v="VAT ID contains spaces"/>
    <s v="Remove spaces during migration"/>
    <s v="Low"/>
    <x v="0"/>
    <s v="A. Weber"/>
    <d v="2026-09-03T00:00:00"/>
    <x v="2"/>
    <n v="2"/>
    <n v="20"/>
    <x v="0"/>
  </r>
  <r>
    <s v="T-0008"/>
    <d v="2026-09-03T00:00:00"/>
    <s v="ERP_B"/>
    <s v="SUP-0027"/>
    <s v="Nordguss"/>
    <s v="vat_number"/>
    <s v="consistency"/>
    <s v="VAT ID contains spaces"/>
    <s v="Remove spaces during migration"/>
    <s v="Low"/>
    <x v="2"/>
    <s v="L. Rossi"/>
    <m/>
    <x v="3"/>
    <n v="32"/>
    <n v="20"/>
    <x v="1"/>
  </r>
  <r>
    <s v="T-0009"/>
    <d v="2026-09-02T00:00:00"/>
    <s v="ERP_B"/>
    <s v="SUP-0034"/>
    <s v="Primaplast"/>
    <s v="vat_number"/>
    <s v="consistency"/>
    <s v="VAT ID contains spaces"/>
    <s v="Remove spaces during migration"/>
    <s v="Low"/>
    <x v="0"/>
    <s v="S. Kaya"/>
    <d v="2026-09-08T00:00:00"/>
    <x v="4"/>
    <n v="6"/>
    <n v="20"/>
    <x v="0"/>
  </r>
  <r>
    <s v="T-0010"/>
    <d v="2026-09-13T00:00:00"/>
    <s v="ERP_B"/>
    <s v="SUP-0032"/>
    <s v="Velawek s.r.o."/>
    <s v="vat_number"/>
    <s v="consistency"/>
    <s v="VAT ID contains spaces"/>
    <s v="Remove spaces during migration"/>
    <s v="Low"/>
    <x v="1"/>
    <s v="M. Chen"/>
    <m/>
    <x v="1"/>
    <n v="22"/>
    <n v="20"/>
    <x v="1"/>
  </r>
  <r>
    <s v="T-0011"/>
    <d v="2026-10-02T00:00:00"/>
    <s v="ERP_B"/>
    <s v="SUP-0055"/>
    <s v="Aquaparts  GmbH"/>
    <s v="vat_number"/>
    <s v="consistency"/>
    <s v="VAT ID contains spaces"/>
    <s v="Remove spaces during migration"/>
    <s v="Low"/>
    <x v="2"/>
    <s v="A. Weber"/>
    <m/>
    <x v="0"/>
    <n v="3"/>
    <n v="20"/>
    <x v="0"/>
  </r>
  <r>
    <s v="T-0012"/>
    <d v="2026-09-30T00:00:00"/>
    <s v="ERP_B"/>
    <s v="SUP-0074"/>
    <s v="Silbercast  GmbH"/>
    <s v="vat_number"/>
    <s v="consistency"/>
    <s v="VAT ID contains spaces"/>
    <s v="Remove spaces during migration"/>
    <s v="Low"/>
    <x v="0"/>
    <s v="J. Novak"/>
    <d v="2026-10-05T00:00:00"/>
    <x v="3"/>
    <n v="5"/>
    <n v="20"/>
    <x v="0"/>
  </r>
  <r>
    <s v="T-0013"/>
    <d v="2026-09-06T00:00:00"/>
    <s v="ERP_B"/>
    <s v="SUP-0025"/>
    <s v="Rheinmeal s.r.o."/>
    <s v="vat_number"/>
    <s v="consistency"/>
    <s v="VAT ID contains spaces"/>
    <s v="Remove spaces during migration"/>
    <s v="Low"/>
    <x v="0"/>
    <s v="L. Rossi"/>
    <d v="2026-09-12T00:00:00"/>
    <x v="3"/>
    <n v="6"/>
    <n v="20"/>
    <x v="0"/>
  </r>
  <r>
    <s v="T-0014"/>
    <d v="2026-10-03T00:00:00"/>
    <s v="ERP_B"/>
    <s v="SUP-0006"/>
    <s v="Vltatronic Sp. z o.o."/>
    <s v="country"/>
    <s v="consistency"/>
    <s v="Country is not a standard English name / ISO code"/>
    <s v="Map to ISO code PL"/>
    <s v="Medium"/>
    <x v="1"/>
    <s v="A. Weber"/>
    <m/>
    <x v="0"/>
    <n v="2"/>
    <n v="10"/>
    <x v="0"/>
  </r>
  <r>
    <s v="T-0015"/>
    <d v="2026-09-07T00:00:00"/>
    <s v="ERP_B"/>
    <s v="SUP-0060"/>
    <s v="KRAFTFORM SAS"/>
    <s v="vat_number"/>
    <s v="consistency"/>
    <s v="VAT ID contains spaces"/>
    <s v="Remove spaces during migration"/>
    <s v="Low"/>
    <x v="1"/>
    <s v="M. Chen"/>
    <m/>
    <x v="4"/>
    <n v="28"/>
    <n v="20"/>
    <x v="1"/>
  </r>
  <r>
    <s v="T-0016"/>
    <d v="2026-09-25T00:00:00"/>
    <s v="ERP_B"/>
    <s v="SUP-0056"/>
    <s v="Teraplast GmbH"/>
    <s v="vat_number"/>
    <s v="consistency"/>
    <s v="VAT ID contains spaces"/>
    <s v="Remove spaces during migration"/>
    <s v="Low"/>
    <x v="2"/>
    <s v="A. Weber"/>
    <m/>
    <x v="2"/>
    <n v="10"/>
    <n v="20"/>
    <x v="0"/>
  </r>
  <r>
    <s v="T-0017"/>
    <d v="2026-09-01T00:00:00"/>
    <s v="ERP_B"/>
    <s v="SUP-0012"/>
    <s v="Boracast GmbH"/>
    <s v="vat_number"/>
    <s v="consistency"/>
    <s v="VAT ID contains spaces"/>
    <s v="Remove spaces during migration"/>
    <s v="Low"/>
    <x v="2"/>
    <s v="A. Weber"/>
    <m/>
    <x v="3"/>
    <n v="34"/>
    <n v="20"/>
    <x v="1"/>
  </r>
  <r>
    <s v="T-0018"/>
    <d v="2026-10-01T00:00:00"/>
    <s v="ERP_B"/>
    <s v="SUP-0001"/>
    <s v="FERROMETAL GMBH"/>
    <s v="vat_number"/>
    <s v="consistency"/>
    <s v="VAT ID contains spaces"/>
    <s v="Remove spaces during migration"/>
    <s v="Low"/>
    <x v="1"/>
    <s v="S. Kaya"/>
    <m/>
    <x v="1"/>
    <n v="4"/>
    <n v="20"/>
    <x v="0"/>
  </r>
  <r>
    <s v="T-0019"/>
    <d v="2026-09-27T00:00:00"/>
    <s v="ERP_B"/>
    <s v="SUP-0008"/>
    <s v="KRAFTGUSS S.R.O."/>
    <s v="vat_number"/>
    <s v="consistency"/>
    <s v="VAT ID contains spaces"/>
    <s v="Remove spaces during migration"/>
    <s v="Low"/>
    <x v="2"/>
    <s v="L. Rossi"/>
    <m/>
    <x v="0"/>
    <n v="8"/>
    <n v="20"/>
    <x v="0"/>
  </r>
  <r>
    <s v="T-0020"/>
    <d v="2026-09-18T00:00:00"/>
    <s v="ERP_B"/>
    <s v="SUP-0005"/>
    <s v="Ferrocast  GmbH"/>
    <s v="country"/>
    <s v="consistency"/>
    <s v="Country is not a standard English name / ISO code"/>
    <s v="Map to ISO code DE"/>
    <s v="Medium"/>
    <x v="1"/>
    <s v="M. Chen"/>
    <m/>
    <x v="4"/>
    <n v="17"/>
    <n v="10"/>
    <x v="1"/>
  </r>
  <r>
    <s v="T-0021"/>
    <d v="2026-09-22T00:00:00"/>
    <s v="ERP_B"/>
    <s v="SUP-0039"/>
    <s v="Atlastronc GmbH"/>
    <s v="vat_number"/>
    <s v="consistency"/>
    <s v="VAT ID contains spaces"/>
    <s v="Remove spaces during migration"/>
    <s v="Low"/>
    <x v="2"/>
    <s v="S. Kaya"/>
    <m/>
    <x v="3"/>
    <n v="13"/>
    <n v="20"/>
    <x v="0"/>
  </r>
  <r>
    <s v="T-0022"/>
    <d v="2026-09-08T00:00:00"/>
    <s v="ERP_B"/>
    <s v="SUP-0040"/>
    <s v="Ventoguss"/>
    <s v="vat_number"/>
    <s v="consistency"/>
    <s v="VAT ID contains spaces"/>
    <s v="Remove spaces during migration"/>
    <s v="Low"/>
    <x v="2"/>
    <s v="A. Weber"/>
    <m/>
    <x v="0"/>
    <n v="27"/>
    <n v="20"/>
    <x v="1"/>
  </r>
  <r>
    <s v="T-0023"/>
    <d v="2026-09-01T00:00:00"/>
    <s v="ERP_B"/>
    <s v="SUP-0058"/>
    <s v="Deltaflex  Sp.  z  o.o."/>
    <s v="vat_number"/>
    <s v="consistency"/>
    <s v="VAT ID contains spaces"/>
    <s v="Remove spaces during migration"/>
    <s v="Low"/>
    <x v="2"/>
    <s v="S. Kaya"/>
    <m/>
    <x v="2"/>
    <n v="34"/>
    <n v="20"/>
    <x v="1"/>
  </r>
  <r>
    <s v="T-0024"/>
    <d v="2026-09-12T00:00:00"/>
    <s v="ERP_B"/>
    <s v="SUP-0024"/>
    <s v="Velacast  GmbH"/>
    <s v="vat_number"/>
    <s v="consistency"/>
    <s v="VAT ID contains spaces"/>
    <s v="Remove spaces during migration"/>
    <s v="Low"/>
    <x v="0"/>
    <s v="S. Kaya"/>
    <d v="2026-09-16T00:00:00"/>
    <x v="1"/>
    <n v="4"/>
    <n v="20"/>
    <x v="0"/>
  </r>
  <r>
    <s v="T-0025"/>
    <d v="2026-10-03T00:00:00"/>
    <s v="ERP_B"/>
    <s v="SUP-0069"/>
    <s v="Kraftflex"/>
    <s v="vat_number"/>
    <s v="consistency"/>
    <s v="VAT ID contains spaces"/>
    <s v="Remove spaces during migration"/>
    <s v="Low"/>
    <x v="2"/>
    <s v="L. Rossi"/>
    <m/>
    <x v="0"/>
    <n v="2"/>
    <n v="20"/>
    <x v="0"/>
  </r>
  <r>
    <s v="T-0026"/>
    <d v="2026-09-27T00:00:00"/>
    <s v="ERP_A"/>
    <s v="0000100055"/>
    <s v="Deltaplast GmbH"/>
    <s v="terms"/>
    <s v="completeness"/>
    <s v="Mandatory field 'terms' is empty"/>
    <s v="Request value from supplier / purchasing"/>
    <s v="Medium"/>
    <x v="0"/>
    <s v="S. Kaya"/>
    <d v="2026-09-29T00:00:00"/>
    <x v="3"/>
    <n v="2"/>
    <n v="10"/>
    <x v="0"/>
  </r>
  <r>
    <s v="T-0027"/>
    <d v="2026-09-27T00:00:00"/>
    <s v="ERP_A"/>
    <s v="0000100186"/>
    <s v="Alpentronic GmbH"/>
    <s v="vat"/>
    <s v="completeness"/>
    <s v="Mandatory field 'vat' is empty"/>
    <s v="Request value from supplier / purchasing"/>
    <s v="High"/>
    <x v="0"/>
    <s v="M. Chen"/>
    <d v="2026-09-28T00:00:00"/>
    <x v="1"/>
    <n v="1"/>
    <n v="5"/>
    <x v="0"/>
  </r>
  <r>
    <s v="T-0028"/>
    <d v="2026-09-20T00:00:00"/>
    <s v="ERP_A"/>
    <s v="0000100334"/>
    <s v="Lumencast GmbH"/>
    <s v="iban"/>
    <s v="completeness"/>
    <s v="Mandatory field 'iban' is empty"/>
    <s v="Request value from supplier / purchasing"/>
    <s v="High"/>
    <x v="0"/>
    <s v="L. Rossi"/>
    <d v="2026-09-21T00:00:00"/>
    <x v="4"/>
    <n v="1"/>
    <n v="5"/>
    <x v="0"/>
  </r>
  <r>
    <s v="T-0029"/>
    <d v="2026-09-12T00:00:00"/>
    <s v="ERP_A"/>
    <s v="0000100334"/>
    <s v="Lumencast GmbH"/>
    <s v="terms"/>
    <s v="completeness"/>
    <s v="Mandatory field 'terms' is empty"/>
    <s v="Request value from supplier / purchasing"/>
    <s v="Medium"/>
    <x v="1"/>
    <s v="J. Novak"/>
    <m/>
    <x v="4"/>
    <n v="23"/>
    <n v="10"/>
    <x v="1"/>
  </r>
  <r>
    <s v="T-0030"/>
    <d v="2026-09-07T00:00:00"/>
    <s v="ERP_A"/>
    <s v="0000100247"/>
    <s v="Voltaflex GmbH"/>
    <s v="vat"/>
    <s v="completeness"/>
    <s v="Mandatory field 'vat' is empty"/>
    <s v="Request value from supplier / purchasing"/>
    <s v="High"/>
    <x v="2"/>
    <s v="L. Rossi"/>
    <m/>
    <x v="2"/>
    <n v="28"/>
    <n v="5"/>
    <x v="1"/>
  </r>
  <r>
    <s v="T-0031"/>
    <d v="2026-09-14T00:00:00"/>
    <s v="ERP_A"/>
    <s v="0000100168"/>
    <s v="Kraftseal S.r.l."/>
    <s v="iban"/>
    <s v="completeness"/>
    <s v="Mandatory field 'iban' is empty"/>
    <s v="Request value from supplier / purchasing"/>
    <s v="High"/>
    <x v="1"/>
    <s v="A. Weber"/>
    <m/>
    <x v="1"/>
    <n v="21"/>
    <n v="5"/>
    <x v="1"/>
  </r>
  <r>
    <s v="T-0032"/>
    <d v="2026-09-22T00:00:00"/>
    <s v="ERP_A"/>
    <s v="0000100216"/>
    <s v="Alpenwerk GmbH"/>
    <s v="terms"/>
    <s v="completeness"/>
    <s v="Mandatory field 'terms' is empty"/>
    <s v="Request value from supplier / purchasing"/>
    <s v="Medium"/>
    <x v="0"/>
    <s v="A. Weber"/>
    <d v="2026-09-29T00:00:00"/>
    <x v="4"/>
    <n v="7"/>
    <n v="10"/>
    <x v="0"/>
  </r>
  <r>
    <s v="T-0033"/>
    <d v="2026-09-05T00:00:00"/>
    <s v="ERP_A"/>
    <s v="0000100367"/>
    <s v="Ferroparts GmbH"/>
    <s v="vat"/>
    <s v="validity"/>
    <s v="VAT ID does not match the DE format"/>
    <s v="Verify VAT ID (e.g. EU VIES check)"/>
    <s v="High"/>
    <x v="2"/>
    <s v="J. Novak"/>
    <m/>
    <x v="1"/>
    <n v="30"/>
    <n v="5"/>
    <x v="1"/>
  </r>
  <r>
    <s v="T-0034"/>
    <d v="2026-09-16T00:00:00"/>
    <s v="ERP_A"/>
    <s v="0000100153"/>
    <s v="Atlasplast Sp. z o.o."/>
    <s v="vat"/>
    <s v="validity"/>
    <s v="VAT ID does not match the PL format"/>
    <s v="Verify VAT ID (e.g. EU VIES check)"/>
    <s v="High"/>
    <x v="2"/>
    <s v="M. Chen"/>
    <m/>
    <x v="1"/>
    <n v="19"/>
    <n v="5"/>
    <x v="1"/>
  </r>
  <r>
    <s v="T-0035"/>
    <d v="2026-09-24T00:00:00"/>
    <s v="ERP_A"/>
    <s v="0000100162"/>
    <s v="Tauroform Sp. z o.o."/>
    <s v="iban"/>
    <s v="completeness"/>
    <s v="Mandatory field 'iban' is empty"/>
    <s v="Request value from supplier / purchasing"/>
    <s v="High"/>
    <x v="3"/>
    <s v="L. Rossi"/>
    <m/>
    <x v="0"/>
    <n v="11"/>
    <n v="5"/>
    <x v="1"/>
  </r>
  <r>
    <s v="T-0036"/>
    <d v="2026-10-01T00:00:00"/>
    <s v="ERP_A"/>
    <s v="0000100071"/>
    <s v="Cerrowerk Sp. z o.o."/>
    <s v="vat"/>
    <s v="completeness"/>
    <s v="Mandatory field 'vat' is empty"/>
    <s v="Request value from supplier / purchasing"/>
    <s v="High"/>
    <x v="0"/>
    <s v="S. Kaya"/>
    <d v="2026-10-04T00:00:00"/>
    <x v="2"/>
    <n v="3"/>
    <n v="5"/>
    <x v="0"/>
  </r>
  <r>
    <s v="T-0037"/>
    <d v="2026-09-12T00:00:00"/>
    <s v="ERP_A"/>
    <s v="0000100011"/>
    <s v="Novaform GmbH"/>
    <s v="iban"/>
    <s v="validity"/>
    <s v="IBAN fails length or check-digit test"/>
    <s v="Block payments until bank data is confirmed"/>
    <s v="High"/>
    <x v="3"/>
    <s v="M. Chen"/>
    <m/>
    <x v="4"/>
    <n v="23"/>
    <n v="5"/>
    <x v="1"/>
  </r>
  <r>
    <s v="T-0038"/>
    <d v="2026-09-15T00:00:00"/>
    <s v="ERP_A"/>
    <s v="0000100387"/>
    <s v="Lumenparts GmbH"/>
    <s v="vat"/>
    <s v="completeness"/>
    <s v="Mandatory field 'vat' is empty"/>
    <s v="Request value from supplier / purchasing"/>
    <s v="High"/>
    <x v="0"/>
    <s v="L. Rossi"/>
    <d v="2026-09-19T00:00:00"/>
    <x v="3"/>
    <n v="4"/>
    <n v="5"/>
    <x v="0"/>
  </r>
  <r>
    <s v="T-0039"/>
    <d v="2026-09-11T00:00:00"/>
    <s v="ERP_A"/>
    <s v="0000100019"/>
    <s v="Ferrocast GmbH"/>
    <s v="iban"/>
    <s v="completeness"/>
    <s v="Mandatory field 'iban' is empty"/>
    <s v="Request value from supplier / purchasing"/>
    <s v="High"/>
    <x v="0"/>
    <s v="L. Rossi"/>
    <d v="2026-09-20T00:00:00"/>
    <x v="4"/>
    <n v="9"/>
    <n v="5"/>
    <x v="1"/>
  </r>
  <r>
    <s v="T-0040"/>
    <d v="2026-09-25T00:00:00"/>
    <s v="ERP_A"/>
    <s v="0000100314"/>
    <s v="Voltaplast GmbH"/>
    <s v="terms"/>
    <s v="completeness"/>
    <s v="Mandatory field 'terms' is empty"/>
    <s v="Request value from supplier / purchasing"/>
    <s v="Medium"/>
    <x v="0"/>
    <s v="A. Weber"/>
    <d v="2026-10-05T00:00:00"/>
    <x v="2"/>
    <n v="10"/>
    <n v="10"/>
    <x v="0"/>
  </r>
  <r>
    <s v="T-0041"/>
    <d v="2026-09-27T00:00:00"/>
    <s v="ERP_A"/>
    <s v="0000100302"/>
    <s v="Boraline GmbH"/>
    <s v="vat"/>
    <s v="completeness"/>
    <s v="Mandatory field 'vat' is empty"/>
    <s v="Request value from supplier / purchasing"/>
    <s v="High"/>
    <x v="2"/>
    <s v="A. Weber"/>
    <m/>
    <x v="0"/>
    <n v="8"/>
    <n v="5"/>
    <x v="1"/>
  </r>
  <r>
    <s v="T-0042"/>
    <d v="2026-09-03T00:00:00"/>
    <s v="ERP_A"/>
    <s v="0000100127"/>
    <s v="Rheinplast S.r.l."/>
    <s v="terms"/>
    <s v="completeness"/>
    <s v="Mandatory field 'terms' is empty"/>
    <s v="Request value from supplier / purchasing"/>
    <s v="Medium"/>
    <x v="1"/>
    <s v="M. Chen"/>
    <m/>
    <x v="3"/>
    <n v="32"/>
    <n v="10"/>
    <x v="1"/>
  </r>
  <r>
    <s v="T-0043"/>
    <d v="2026-09-16T00:00:00"/>
    <s v="ERP_A"/>
    <s v="0000100007"/>
    <s v="Terraparts GmbH"/>
    <s v="vat"/>
    <s v="validity"/>
    <s v="VAT ID does not match the DE format"/>
    <s v="Verify VAT ID (e.g. EU VIES check)"/>
    <s v="High"/>
    <x v="0"/>
    <s v="M. Chen"/>
    <d v="2026-09-23T00:00:00"/>
    <x v="2"/>
    <n v="7"/>
    <n v="5"/>
    <x v="1"/>
  </r>
  <r>
    <s v="T-0044"/>
    <d v="2026-09-27T00:00:00"/>
    <s v="ERP_A"/>
    <s v="0000100224"/>
    <s v="Ventometal GmbH"/>
    <s v="iban"/>
    <s v="validity"/>
    <s v="IBAN fails length or check-digit test"/>
    <s v="Block payments until bank data is confirmed"/>
    <s v="High"/>
    <x v="0"/>
    <s v="S. Kaya"/>
    <d v="2026-10-05T00:00:00"/>
    <x v="3"/>
    <n v="8"/>
    <n v="5"/>
    <x v="1"/>
  </r>
  <r>
    <s v="T-0045"/>
    <d v="2026-09-19T00:00:00"/>
    <s v="ERP_A"/>
    <s v="0000100030"/>
    <s v="Nordwerk GmbH"/>
    <s v="vat"/>
    <s v="validity"/>
    <s v="VAT ID does not match the AT format"/>
    <s v="Verify VAT ID (e.g. EU VIES check)"/>
    <s v="High"/>
    <x v="1"/>
    <s v="A. Weber"/>
    <m/>
    <x v="4"/>
    <n v="16"/>
    <n v="5"/>
    <x v="1"/>
  </r>
  <r>
    <s v="T-0046"/>
    <d v="2026-09-09T00:00:00"/>
    <s v="ERP_A"/>
    <s v="0000100132"/>
    <s v="Silberwerk s.r.o."/>
    <s v="vat"/>
    <s v="completeness"/>
    <s v="Mandatory field 'vat' is empty"/>
    <s v="Request value from supplier / purchasing"/>
    <s v="High"/>
    <x v="2"/>
    <s v="J. Novak"/>
    <m/>
    <x v="2"/>
    <n v="26"/>
    <n v="5"/>
    <x v="1"/>
  </r>
  <r>
    <s v="T-0047"/>
    <d v="2026-09-05T00:00:00"/>
    <s v="ERP_B"/>
    <s v="SUP-0023"/>
    <s v="Cerroline GmbH"/>
    <s v="vat"/>
    <s v="completeness"/>
    <s v="Mandatory field 'vat' is empty"/>
    <s v="Request value from supplier / purchasing"/>
    <s v="High"/>
    <x v="1"/>
    <s v="L. Rossi"/>
    <m/>
    <x v="2"/>
    <n v="30"/>
    <n v="5"/>
    <x v="1"/>
  </r>
  <r>
    <s v="T-0048"/>
    <d v="2026-09-02T00:00:00"/>
    <s v="ERP_B"/>
    <s v="SUP-0042"/>
    <s v="Voltawerk"/>
    <s v="vat"/>
    <s v="completeness"/>
    <s v="Mandatory field 'vat' is empty"/>
    <s v="Request value from supplier / purchasing"/>
    <s v="High"/>
    <x v="2"/>
    <s v="S. Kaya"/>
    <m/>
    <x v="0"/>
    <n v="33"/>
    <n v="5"/>
    <x v="1"/>
  </r>
  <r>
    <s v="T-0049"/>
    <d v="2026-09-29T00:00:00"/>
    <s v="ERP_B"/>
    <s v="SUP-0054"/>
    <s v="Boralne GmbH"/>
    <s v="postcode"/>
    <s v="completeness"/>
    <s v="Mandatory field 'postcode' is empty"/>
    <s v="Request value from supplier / purchasing"/>
    <s v="Medium"/>
    <x v="2"/>
    <s v="A. Weber"/>
    <m/>
    <x v="0"/>
    <n v="6"/>
    <n v="10"/>
    <x v="0"/>
  </r>
  <r>
    <s v="T-0050"/>
    <d v="2026-09-12T00:00:00"/>
    <s v="ERP_B"/>
    <s v="SUP-0041"/>
    <s v="Cerroparts"/>
    <s v="vat"/>
    <s v="completeness"/>
    <s v="Mandatory field 'vat' is empty"/>
    <s v="Request value from supplier / purchasing"/>
    <s v="High"/>
    <x v="1"/>
    <s v="J. Novak"/>
    <m/>
    <x v="1"/>
    <n v="23"/>
    <n v="5"/>
    <x v="1"/>
  </r>
  <r>
    <s v="T-0051"/>
    <d v="2026-09-09T00:00:00"/>
    <s v="ERP_B"/>
    <s v="SUP-0041"/>
    <s v="Cerroparts"/>
    <s v="postcode"/>
    <s v="validity"/>
    <s v="Postcode length is wrong for DE"/>
    <s v="Correct postcode"/>
    <s v="Medium"/>
    <x v="2"/>
    <s v="L. Rossi"/>
    <m/>
    <x v="1"/>
    <n v="26"/>
    <n v="10"/>
    <x v="1"/>
  </r>
  <r>
    <s v="T-0052"/>
    <d v="2026-09-29T00:00:00"/>
    <s v="ERP_B"/>
    <s v="SUP-0044"/>
    <s v="Novasel GmbH"/>
    <s v="postcode"/>
    <s v="completeness"/>
    <s v="Mandatory field 'postcode' is empty"/>
    <s v="Request value from supplier / purchasing"/>
    <s v="Medium"/>
    <x v="0"/>
    <s v="J. Novak"/>
    <d v="2026-10-05T00:00:00"/>
    <x v="4"/>
    <n v="6"/>
    <n v="10"/>
    <x v="0"/>
  </r>
  <r>
    <s v="T-0053"/>
    <d v="2026-09-09T00:00:00"/>
    <s v="ERP_B"/>
    <s v="SUP-0061"/>
    <s v="Boraetal Sp. z o.o."/>
    <s v="vat"/>
    <s v="completeness"/>
    <s v="Mandatory field 'vat' is empty"/>
    <s v="Request value from supplier / purchasing"/>
    <s v="High"/>
    <x v="3"/>
    <s v="A. Weber"/>
    <m/>
    <x v="3"/>
    <n v="26"/>
    <n v="5"/>
    <x v="1"/>
  </r>
  <r>
    <s v="T-0054"/>
    <d v="2026-10-01T00:00:00"/>
    <s v="ERP_B"/>
    <s v="SUP-0030"/>
    <s v="Kraftcast  Sp.  z  o.o."/>
    <s v="postcode"/>
    <s v="validity"/>
    <s v="Postcode length is wrong for PL"/>
    <s v="Correct postcode"/>
    <s v="Medium"/>
    <x v="0"/>
    <s v="A. Weber"/>
    <d v="2026-10-05T00:00:00"/>
    <x v="1"/>
    <n v="4"/>
    <n v="10"/>
    <x v="0"/>
  </r>
  <r>
    <s v="T-0055"/>
    <d v="2026-09-02T00:00:00"/>
    <s v="ERP_B"/>
    <s v="SUP-0025"/>
    <s v="Rheinmeal s.r.o."/>
    <s v="postcode"/>
    <s v="completeness"/>
    <s v="Mandatory field 'postcode' is empty"/>
    <s v="Request value from supplier / purchasing"/>
    <s v="Medium"/>
    <x v="3"/>
    <s v="A. Weber"/>
    <m/>
    <x v="3"/>
    <n v="33"/>
    <n v="10"/>
    <x v="1"/>
  </r>
  <r>
    <s v="T-0056"/>
    <d v="2026-10-01T00:00:00"/>
    <s v="ERP_B"/>
    <s v="SUP-0020"/>
    <s v="Polarmetal"/>
    <s v="vat"/>
    <s v="completeness"/>
    <s v="Mandatory field 'vat' is empty"/>
    <s v="Request value from supplier / purchasing"/>
    <s v="High"/>
    <x v="2"/>
    <s v="M. Chen"/>
    <m/>
    <x v="4"/>
    <n v="4"/>
    <n v="5"/>
    <x v="0"/>
  </r>
  <r>
    <s v="T-0057"/>
    <d v="2026-09-21T00:00:00"/>
    <s v="ERP_A"/>
    <s v="0000100234"/>
    <s v="Nordcast Sp. z o.o."/>
    <s v="record"/>
    <s v="uniqueness"/>
    <s v="Possible duplicate of 0000100417 (Same VAT ID)"/>
    <s v="Merge into one record before migration"/>
    <s v="High"/>
    <x v="2"/>
    <s v="A. Weber"/>
    <m/>
    <x v="0"/>
    <n v="14"/>
    <n v="5"/>
    <x v="1"/>
  </r>
  <r>
    <s v="T-0058"/>
    <d v="2026-09-05T00:00:00"/>
    <s v="ERP_A"/>
    <s v="0000100238"/>
    <s v="Primaform S.r.l."/>
    <s v="record"/>
    <s v="uniqueness"/>
    <s v="Possible duplicate of 0000100422 (Same VAT ID)"/>
    <s v="Merge into one record before migration"/>
    <s v="High"/>
    <x v="1"/>
    <s v="M. Chen"/>
    <m/>
    <x v="1"/>
    <n v="30"/>
    <n v="5"/>
    <x v="1"/>
  </r>
  <r>
    <s v="T-0059"/>
    <d v="2026-09-03T00:00:00"/>
    <s v="ERP_A"/>
    <s v="0000100177"/>
    <s v="Atlasguss GmbH"/>
    <s v="record"/>
    <s v="uniqueness"/>
    <s v="Possible duplicate of 0000100412 (Same VAT ID)"/>
    <s v="Merge into one record before migration"/>
    <s v="High"/>
    <x v="0"/>
    <s v="M. Chen"/>
    <d v="2026-09-06T00:00:00"/>
    <x v="3"/>
    <n v="3"/>
    <n v="5"/>
    <x v="0"/>
  </r>
  <r>
    <s v="T-0060"/>
    <d v="2026-09-23T00:00:00"/>
    <s v="ERP_A"/>
    <s v="0000100418"/>
    <s v="Lumenform  GmbH"/>
    <s v="record"/>
    <s v="uniqueness"/>
    <s v="Possible duplicate of 0000100192 (Same VAT ID)"/>
    <s v="Merge into one record before migration"/>
    <s v="High"/>
    <x v="2"/>
    <s v="S. Kaya"/>
    <m/>
    <x v="2"/>
    <n v="12"/>
    <n v="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F7C93B-80DE-0C41-978F-59480CEB1DAB}"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D15" firstHeaderRow="1" firstDataRow="2" firstDataCol="1"/>
  <pivotFields count="17">
    <pivotField dataField="1" showAll="0"/>
    <pivotField numFmtId="164" showAll="0"/>
    <pivotField showAll="0"/>
    <pivotField showAll="0"/>
    <pivotField showAll="0"/>
    <pivotField showAll="0"/>
    <pivotField showAll="0"/>
    <pivotField showAll="0"/>
    <pivotField showAll="0"/>
    <pivotField showAll="0"/>
    <pivotField showAll="0">
      <items count="5">
        <item h="1" x="0"/>
        <item x="1"/>
        <item x="2"/>
        <item x="3"/>
        <item t="default"/>
      </items>
    </pivotField>
    <pivotField showAll="0"/>
    <pivotField showAll="0"/>
    <pivotField axis="axisRow" showAll="0">
      <items count="6">
        <item x="0"/>
        <item x="2"/>
        <item x="4"/>
        <item x="3"/>
        <item x="1"/>
        <item t="default"/>
      </items>
    </pivotField>
    <pivotField showAll="0"/>
    <pivotField showAll="0"/>
    <pivotField axis="axisCol" showAll="0">
      <items count="3">
        <item x="1"/>
        <item x="0"/>
        <item t="default"/>
      </items>
    </pivotField>
  </pivotFields>
  <rowFields count="1">
    <field x="13"/>
  </rowFields>
  <rowItems count="6">
    <i>
      <x/>
    </i>
    <i>
      <x v="1"/>
    </i>
    <i>
      <x v="2"/>
    </i>
    <i>
      <x v="3"/>
    </i>
    <i>
      <x v="4"/>
    </i>
    <i t="grand">
      <x/>
    </i>
  </rowItems>
  <colFields count="1">
    <field x="16"/>
  </colFields>
  <colItems count="3">
    <i>
      <x/>
    </i>
    <i>
      <x v="1"/>
    </i>
    <i t="grand">
      <x/>
    </i>
  </colItems>
  <dataFields count="1">
    <dataField name="Count of Ticke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E21674C6-27D6-B845-917A-2DDD4FEB2A03}" sourceName="Status">
  <pivotTables>
    <pivotTable tabId="5" name="PivotTable1"/>
  </pivotTables>
  <data>
    <tabular pivotCacheId="1181872588">
      <items count="4">
        <i x="0"/>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D1423163-F858-A643-B06C-80588E382D3E}" cache="Slicer_Status" caption="Status"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4F919C-D01A-DA41-A42E-110E3B4395C0}" name="tblTickets" displayName="tblTickets" ref="A1:Q61" totalsRowShown="0" headerRowDxfId="9">
  <autoFilter ref="A1:Q61" xr:uid="{CA4F919C-D01A-DA41-A42E-110E3B4395C0}"/>
  <tableColumns count="17">
    <tableColumn id="1" xr3:uid="{BE142A8F-F154-1044-B387-8577F406E53F}" name="Ticket ID"/>
    <tableColumn id="2" xr3:uid="{D3303C1F-3E66-9847-9F7D-1BAB0A591DCB}" name="Created On" dataDxfId="8"/>
    <tableColumn id="3" xr3:uid="{B7D3D6B8-C9F8-CB4E-A562-D40AB4479284}" name="System"/>
    <tableColumn id="4" xr3:uid="{F93E4226-D363-744D-9393-FC55010FB293}" name="Record ID"/>
    <tableColumn id="5" xr3:uid="{C5533319-CAEC-484D-B517-4DCE538BB5CF}" name="Supplier"/>
    <tableColumn id="6" xr3:uid="{28513D74-3F1E-B444-A4F3-C4A775DCAE78}" name="Field"/>
    <tableColumn id="7" xr3:uid="{651610E1-464E-AF4B-B7B8-355364278421}" name="DQ Dimension"/>
    <tableColumn id="8" xr3:uid="{55A7C863-65EF-444D-B52E-3EC689E09593}" name="Issue"/>
    <tableColumn id="9" xr3:uid="{2C8E5035-5AF1-9F4D-BC2E-A89F482F4000}" name="Suggested Action"/>
    <tableColumn id="10" xr3:uid="{38379D94-F847-8649-86DA-658C708DFA9F}" name="Priority"/>
    <tableColumn id="11" xr3:uid="{30BB1311-A968-9E47-9109-6B108A47B1AF}" name="Status"/>
    <tableColumn id="12" xr3:uid="{FE767F43-C074-0E48-9423-F4F2AA52E313}" name="Owner"/>
    <tableColumn id="13" xr3:uid="{B0911052-D2D4-564C-9789-A5F9984A3638}" name="Closed On" dataDxfId="7"/>
    <tableColumn id="14" xr3:uid="{5E7D163A-759D-984D-A1ED-C1B920E4AFE3}" name="Segment" dataDxfId="6">
      <calculatedColumnFormula>_xlfn.XLOOKUP(tblTickets[[#This Row],[Record ID]],Suppliers!A:A,Suppliers!E:E,"Not found")</calculatedColumnFormula>
    </tableColumn>
    <tableColumn id="15" xr3:uid="{7A46C142-8722-F24D-90F5-98A7C1A349EE}" name="Age (days)" dataDxfId="5">
      <calculatedColumnFormula>IF(tblTickets[[#This Row],[Closed On]]="",TODAY()-tblTickets[[#This Row],[Created On]],tblTickets[[#This Row],[Closed On]]-tblTickets[[#This Row],[Created On]])</calculatedColumnFormula>
    </tableColumn>
    <tableColumn id="16" xr3:uid="{4846F765-EDED-4B44-9C2B-4A17E4417593}" name="SLA (days)" dataDxfId="4">
      <calculatedColumnFormula>_xlfn.XLOOKUP(tblTickets[[#This Row],[Priority]],Lists!B:B,Lists!C:C)</calculatedColumnFormula>
    </tableColumn>
    <tableColumn id="17" xr3:uid="{AD8149A7-3507-6C4D-829C-AB97FE40A20A}" name="SLA Status" dataDxfId="3">
      <calculatedColumnFormula>IF(tblTickets[[#This Row],[Age (days)]]&gt;tblTickets[[#This Row],[SLA (days)]],"Breached","OK")</calculatedColumnFormula>
    </tableColumn>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09E95-5F09-DC49-B9BC-77DD19A10A22}">
  <dimension ref="A1:D15"/>
  <sheetViews>
    <sheetView tabSelected="1" workbookViewId="0">
      <selection activeCell="D18" sqref="D18"/>
    </sheetView>
  </sheetViews>
  <sheetFormatPr baseColWidth="10" defaultRowHeight="15" x14ac:dyDescent="0.2"/>
  <cols>
    <col min="1" max="1" width="22.6640625" bestFit="1" customWidth="1"/>
    <col min="2" max="2" width="14.83203125" bestFit="1" customWidth="1"/>
    <col min="3" max="3" width="3.33203125" bestFit="1" customWidth="1"/>
    <col min="4" max="4" width="10" bestFit="1" customWidth="1"/>
  </cols>
  <sheetData>
    <row r="1" spans="1:4" x14ac:dyDescent="0.2">
      <c r="A1" t="s">
        <v>560</v>
      </c>
    </row>
    <row r="3" spans="1:4" x14ac:dyDescent="0.2">
      <c r="A3" t="s">
        <v>561</v>
      </c>
      <c r="B3">
        <f>COUNTA(tblTickets[Ticket ID])</f>
        <v>60</v>
      </c>
    </row>
    <row r="4" spans="1:4" x14ac:dyDescent="0.2">
      <c r="A4" t="s">
        <v>562</v>
      </c>
      <c r="B4">
        <f>COUNTIF(tblTickets[Status],"&lt;&gt;Closed")</f>
        <v>39</v>
      </c>
    </row>
    <row r="5" spans="1:4" x14ac:dyDescent="0.2">
      <c r="A5" t="s">
        <v>563</v>
      </c>
      <c r="B5">
        <f ca="1">COUNTIFS(tblTickets[Status],"&lt;&gt;Closed",tblTickets[SLA Status],"Breached")</f>
        <v>29</v>
      </c>
    </row>
    <row r="8" spans="1:4" x14ac:dyDescent="0.2">
      <c r="A8" s="5" t="s">
        <v>569</v>
      </c>
      <c r="B8" s="5" t="s">
        <v>566</v>
      </c>
    </row>
    <row r="9" spans="1:4" x14ac:dyDescent="0.2">
      <c r="A9" s="5" t="s">
        <v>564</v>
      </c>
      <c r="B9" t="s">
        <v>567</v>
      </c>
      <c r="C9" t="s">
        <v>568</v>
      </c>
      <c r="D9" t="s">
        <v>565</v>
      </c>
    </row>
    <row r="10" spans="1:4" x14ac:dyDescent="0.2">
      <c r="A10" s="6" t="s">
        <v>245</v>
      </c>
      <c r="B10" s="4">
        <v>7</v>
      </c>
      <c r="C10" s="4">
        <v>6</v>
      </c>
      <c r="D10" s="4">
        <v>13</v>
      </c>
    </row>
    <row r="11" spans="1:4" x14ac:dyDescent="0.2">
      <c r="A11" s="6" t="s">
        <v>250</v>
      </c>
      <c r="B11" s="4">
        <v>5</v>
      </c>
      <c r="C11" s="4">
        <v>1</v>
      </c>
      <c r="D11" s="4">
        <v>6</v>
      </c>
    </row>
    <row r="12" spans="1:4" x14ac:dyDescent="0.2">
      <c r="A12" s="6" t="s">
        <v>285</v>
      </c>
      <c r="B12" s="4">
        <v>5</v>
      </c>
      <c r="C12" s="4">
        <v>1</v>
      </c>
      <c r="D12" s="4">
        <v>6</v>
      </c>
    </row>
    <row r="13" spans="1:4" x14ac:dyDescent="0.2">
      <c r="A13" s="6" t="s">
        <v>241</v>
      </c>
      <c r="B13" s="4">
        <v>5</v>
      </c>
      <c r="C13" s="4">
        <v>1</v>
      </c>
      <c r="D13" s="4">
        <v>6</v>
      </c>
    </row>
    <row r="14" spans="1:4" x14ac:dyDescent="0.2">
      <c r="A14" s="6" t="s">
        <v>269</v>
      </c>
      <c r="B14" s="4">
        <v>7</v>
      </c>
      <c r="C14" s="4">
        <v>1</v>
      </c>
      <c r="D14" s="4">
        <v>8</v>
      </c>
    </row>
    <row r="15" spans="1:4" x14ac:dyDescent="0.2">
      <c r="A15" s="6" t="s">
        <v>565</v>
      </c>
      <c r="B15" s="4">
        <v>29</v>
      </c>
      <c r="C15" s="4">
        <v>10</v>
      </c>
      <c r="D15" s="4">
        <v>39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1"/>
  <sheetViews>
    <sheetView topLeftCell="F1" workbookViewId="0">
      <pane ySplit="1" topLeftCell="A2" activePane="bottomLeft" state="frozen"/>
      <selection pane="bottomLeft" activeCell="S16" sqref="S16"/>
    </sheetView>
  </sheetViews>
  <sheetFormatPr baseColWidth="10" defaultColWidth="8.83203125" defaultRowHeight="15" x14ac:dyDescent="0.2"/>
  <cols>
    <col min="1" max="1" width="10.1640625" customWidth="1"/>
    <col min="2" max="2" width="12.1640625" customWidth="1"/>
    <col min="3" max="3" width="9" customWidth="1"/>
    <col min="4" max="4" width="12" customWidth="1"/>
    <col min="5" max="5" width="22" customWidth="1"/>
    <col min="6" max="6" width="10" customWidth="1"/>
    <col min="7" max="7" width="14.6640625" customWidth="1"/>
    <col min="8" max="8" width="42" customWidth="1"/>
    <col min="9" max="9" width="38" customWidth="1"/>
    <col min="10" max="10" width="9.33203125" customWidth="1"/>
    <col min="11" max="11" width="12" customWidth="1"/>
    <col min="12" max="12" width="11" customWidth="1"/>
    <col min="13" max="13" width="12" customWidth="1"/>
    <col min="14" max="14" width="28.83203125" customWidth="1"/>
    <col min="17" max="17" width="10.6640625" customWidth="1"/>
  </cols>
  <sheetData>
    <row r="1" spans="1:17" x14ac:dyDescent="0.2">
      <c r="A1" s="1" t="s">
        <v>0</v>
      </c>
      <c r="B1" s="1" t="s">
        <v>1</v>
      </c>
      <c r="C1" s="1" t="s">
        <v>2</v>
      </c>
      <c r="D1" s="1" t="s">
        <v>3</v>
      </c>
      <c r="E1" s="1" t="s">
        <v>4</v>
      </c>
      <c r="F1" s="1" t="s">
        <v>5</v>
      </c>
      <c r="G1" s="1" t="s">
        <v>6</v>
      </c>
      <c r="H1" s="1" t="s">
        <v>7</v>
      </c>
      <c r="I1" s="1" t="s">
        <v>8</v>
      </c>
      <c r="J1" s="1" t="s">
        <v>9</v>
      </c>
      <c r="K1" s="1" t="s">
        <v>10</v>
      </c>
      <c r="L1" s="1" t="s">
        <v>11</v>
      </c>
      <c r="M1" s="1" t="s">
        <v>12</v>
      </c>
      <c r="N1" s="1" t="s">
        <v>239</v>
      </c>
      <c r="O1" s="1" t="s">
        <v>557</v>
      </c>
      <c r="P1" s="1" t="s">
        <v>558</v>
      </c>
      <c r="Q1" s="1" t="s">
        <v>559</v>
      </c>
    </row>
    <row r="2" spans="1:17" x14ac:dyDescent="0.2">
      <c r="A2" t="s">
        <v>13</v>
      </c>
      <c r="B2" s="2">
        <v>46294</v>
      </c>
      <c r="C2" t="s">
        <v>14</v>
      </c>
      <c r="D2" t="s">
        <v>15</v>
      </c>
      <c r="E2" t="s">
        <v>16</v>
      </c>
      <c r="F2" t="s">
        <v>17</v>
      </c>
      <c r="G2" t="s">
        <v>18</v>
      </c>
      <c r="H2" t="s">
        <v>19</v>
      </c>
      <c r="I2" t="s">
        <v>20</v>
      </c>
      <c r="J2" t="s">
        <v>21</v>
      </c>
      <c r="K2" t="s">
        <v>22</v>
      </c>
      <c r="L2" t="s">
        <v>23</v>
      </c>
      <c r="M2" s="2">
        <v>46300</v>
      </c>
      <c r="N2" t="str">
        <f>_xlfn.XLOOKUP(tblTickets[[#This Row],[Record ID]],Suppliers!A:A,Suppliers!E:E,"Not found")</f>
        <v>Critical: quality and delivery</v>
      </c>
      <c r="O2">
        <f ca="1">IF(tblTickets[[#This Row],[Closed On]]="",TODAY()-tblTickets[[#This Row],[Created On]],tblTickets[[#This Row],[Closed On]]-tblTickets[[#This Row],[Created On]])</f>
        <v>6</v>
      </c>
      <c r="P2">
        <f>_xlfn.XLOOKUP(tblTickets[[#This Row],[Priority]],Lists!B:B,Lists!C:C)</f>
        <v>20</v>
      </c>
      <c r="Q2" s="4" t="str">
        <f ca="1">IF(tblTickets[[#This Row],[Age (days)]]&gt;tblTickets[[#This Row],[SLA (days)]],"Breached","OK")</f>
        <v>OK</v>
      </c>
    </row>
    <row r="3" spans="1:17" x14ac:dyDescent="0.2">
      <c r="A3" t="s">
        <v>24</v>
      </c>
      <c r="B3" s="2">
        <v>46298</v>
      </c>
      <c r="C3" t="s">
        <v>14</v>
      </c>
      <c r="D3" t="s">
        <v>25</v>
      </c>
      <c r="E3" t="s">
        <v>26</v>
      </c>
      <c r="F3" t="s">
        <v>17</v>
      </c>
      <c r="G3" t="s">
        <v>18</v>
      </c>
      <c r="H3" t="s">
        <v>19</v>
      </c>
      <c r="I3" t="s">
        <v>20</v>
      </c>
      <c r="J3" t="s">
        <v>21</v>
      </c>
      <c r="K3" t="s">
        <v>22</v>
      </c>
      <c r="L3" t="s">
        <v>27</v>
      </c>
      <c r="M3" s="2">
        <v>46300</v>
      </c>
      <c r="N3" t="str">
        <f>_xlfn.XLOOKUP(tblTickets[[#This Row],[Record ID]],Suppliers!A:A,Suppliers!E:E,"Not found")</f>
        <v>Strategic and reliable</v>
      </c>
      <c r="O3">
        <f ca="1">IF(tblTickets[[#This Row],[Closed On]]="",TODAY()-tblTickets[[#This Row],[Created On]],tblTickets[[#This Row],[Closed On]]-tblTickets[[#This Row],[Created On]])</f>
        <v>2</v>
      </c>
      <c r="P3">
        <f>_xlfn.XLOOKUP(tblTickets[[#This Row],[Priority]],Lists!B:B,Lists!C:C)</f>
        <v>20</v>
      </c>
      <c r="Q3" s="4" t="str">
        <f ca="1">IF(tblTickets[[#This Row],[Age (days)]]&gt;tblTickets[[#This Row],[SLA (days)]],"Breached","OK")</f>
        <v>OK</v>
      </c>
    </row>
    <row r="4" spans="1:17" x14ac:dyDescent="0.2">
      <c r="A4" t="s">
        <v>28</v>
      </c>
      <c r="B4" s="2">
        <v>46298</v>
      </c>
      <c r="C4" t="s">
        <v>14</v>
      </c>
      <c r="D4" t="s">
        <v>29</v>
      </c>
      <c r="E4" t="s">
        <v>30</v>
      </c>
      <c r="F4" t="s">
        <v>17</v>
      </c>
      <c r="G4" t="s">
        <v>18</v>
      </c>
      <c r="H4" t="s">
        <v>19</v>
      </c>
      <c r="I4" t="s">
        <v>20</v>
      </c>
      <c r="J4" t="s">
        <v>21</v>
      </c>
      <c r="K4" t="s">
        <v>31</v>
      </c>
      <c r="L4" t="s">
        <v>32</v>
      </c>
      <c r="M4" s="2"/>
      <c r="N4" t="str">
        <f>_xlfn.XLOOKUP(tblTickets[[#This Row],[Record ID]],Suppliers!A:A,Suppliers!E:E,"Not found")</f>
        <v>Critical: quality and delivery</v>
      </c>
      <c r="O4">
        <f ca="1">IF(tblTickets[[#This Row],[Closed On]]="",TODAY()-tblTickets[[#This Row],[Created On]],tblTickets[[#This Row],[Closed On]]-tblTickets[[#This Row],[Created On]])</f>
        <v>2</v>
      </c>
      <c r="P4">
        <f>_xlfn.XLOOKUP(tblTickets[[#This Row],[Priority]],Lists!B:B,Lists!C:C)</f>
        <v>20</v>
      </c>
      <c r="Q4" s="4" t="str">
        <f ca="1">IF(tblTickets[[#This Row],[Age (days)]]&gt;tblTickets[[#This Row],[SLA (days)]],"Breached","OK")</f>
        <v>OK</v>
      </c>
    </row>
    <row r="5" spans="1:17" x14ac:dyDescent="0.2">
      <c r="A5" t="s">
        <v>33</v>
      </c>
      <c r="B5" s="2">
        <v>46277</v>
      </c>
      <c r="C5" t="s">
        <v>14</v>
      </c>
      <c r="D5" t="s">
        <v>34</v>
      </c>
      <c r="E5" t="s">
        <v>35</v>
      </c>
      <c r="F5" t="s">
        <v>36</v>
      </c>
      <c r="G5" t="s">
        <v>18</v>
      </c>
      <c r="H5" t="s">
        <v>37</v>
      </c>
      <c r="I5" t="s">
        <v>38</v>
      </c>
      <c r="J5" t="s">
        <v>39</v>
      </c>
      <c r="K5" t="s">
        <v>40</v>
      </c>
      <c r="L5" t="s">
        <v>41</v>
      </c>
      <c r="M5" s="2"/>
      <c r="N5" t="str">
        <f>_xlfn.XLOOKUP(tblTickets[[#This Row],[Record ID]],Suppliers!A:A,Suppliers!E:E,"Not found")</f>
        <v>Critical: quality and delivery</v>
      </c>
      <c r="O5">
        <f ca="1">IF(tblTickets[[#This Row],[Closed On]]="",TODAY()-tblTickets[[#This Row],[Created On]],tblTickets[[#This Row],[Closed On]]-tblTickets[[#This Row],[Created On]])</f>
        <v>23</v>
      </c>
      <c r="P5">
        <f>_xlfn.XLOOKUP(tblTickets[[#This Row],[Priority]],Lists!B:B,Lists!C:C)</f>
        <v>10</v>
      </c>
      <c r="Q5" s="4" t="str">
        <f ca="1">IF(tblTickets[[#This Row],[Age (days)]]&gt;tblTickets[[#This Row],[SLA (days)]],"Breached","OK")</f>
        <v>Breached</v>
      </c>
    </row>
    <row r="6" spans="1:17" x14ac:dyDescent="0.2">
      <c r="A6" t="s">
        <v>42</v>
      </c>
      <c r="B6" s="2">
        <v>46275</v>
      </c>
      <c r="C6" t="s">
        <v>14</v>
      </c>
      <c r="D6" t="s">
        <v>43</v>
      </c>
      <c r="E6" t="s">
        <v>44</v>
      </c>
      <c r="F6" t="s">
        <v>17</v>
      </c>
      <c r="G6" t="s">
        <v>18</v>
      </c>
      <c r="H6" t="s">
        <v>19</v>
      </c>
      <c r="I6" t="s">
        <v>20</v>
      </c>
      <c r="J6" t="s">
        <v>21</v>
      </c>
      <c r="K6" t="s">
        <v>40</v>
      </c>
      <c r="L6" t="s">
        <v>45</v>
      </c>
      <c r="M6" s="2"/>
      <c r="N6" t="str">
        <f>_xlfn.XLOOKUP(tblTickets[[#This Row],[Record ID]],Suppliers!A:A,Suppliers!E:E,"Not found")</f>
        <v>Critical: quality and delivery</v>
      </c>
      <c r="O6">
        <f ca="1">IF(tblTickets[[#This Row],[Closed On]]="",TODAY()-tblTickets[[#This Row],[Created On]],tblTickets[[#This Row],[Closed On]]-tblTickets[[#This Row],[Created On]])</f>
        <v>25</v>
      </c>
      <c r="P6">
        <f>_xlfn.XLOOKUP(tblTickets[[#This Row],[Priority]],Lists!B:B,Lists!C:C)</f>
        <v>20</v>
      </c>
      <c r="Q6" s="4" t="str">
        <f ca="1">IF(tblTickets[[#This Row],[Age (days)]]&gt;tblTickets[[#This Row],[SLA (days)]],"Breached","OK")</f>
        <v>Breached</v>
      </c>
    </row>
    <row r="7" spans="1:17" x14ac:dyDescent="0.2">
      <c r="A7" t="s">
        <v>46</v>
      </c>
      <c r="B7" s="2">
        <v>46291</v>
      </c>
      <c r="C7" t="s">
        <v>14</v>
      </c>
      <c r="D7" t="s">
        <v>47</v>
      </c>
      <c r="E7" t="s">
        <v>48</v>
      </c>
      <c r="F7" t="s">
        <v>17</v>
      </c>
      <c r="G7" t="s">
        <v>18</v>
      </c>
      <c r="H7" t="s">
        <v>19</v>
      </c>
      <c r="I7" t="s">
        <v>20</v>
      </c>
      <c r="J7" t="s">
        <v>21</v>
      </c>
      <c r="K7" t="s">
        <v>22</v>
      </c>
      <c r="L7" t="s">
        <v>27</v>
      </c>
      <c r="M7" s="2">
        <v>46300</v>
      </c>
      <c r="N7" t="str">
        <f>_xlfn.XLOOKUP(tblTickets[[#This Row],[Record ID]],Suppliers!A:A,Suppliers!E:E,"Not found")</f>
        <v>Delivery risk</v>
      </c>
      <c r="O7">
        <f ca="1">IF(tblTickets[[#This Row],[Closed On]]="",TODAY()-tblTickets[[#This Row],[Created On]],tblTickets[[#This Row],[Closed On]]-tblTickets[[#This Row],[Created On]])</f>
        <v>9</v>
      </c>
      <c r="P7">
        <f>_xlfn.XLOOKUP(tblTickets[[#This Row],[Priority]],Lists!B:B,Lists!C:C)</f>
        <v>20</v>
      </c>
      <c r="Q7" s="4" t="str">
        <f ca="1">IF(tblTickets[[#This Row],[Age (days)]]&gt;tblTickets[[#This Row],[SLA (days)]],"Breached","OK")</f>
        <v>OK</v>
      </c>
    </row>
    <row r="8" spans="1:17" x14ac:dyDescent="0.2">
      <c r="A8" t="s">
        <v>49</v>
      </c>
      <c r="B8" s="2">
        <v>46266</v>
      </c>
      <c r="C8" t="s">
        <v>14</v>
      </c>
      <c r="D8" t="s">
        <v>50</v>
      </c>
      <c r="E8" t="s">
        <v>51</v>
      </c>
      <c r="F8" t="s">
        <v>17</v>
      </c>
      <c r="G8" t="s">
        <v>18</v>
      </c>
      <c r="H8" t="s">
        <v>19</v>
      </c>
      <c r="I8" t="s">
        <v>20</v>
      </c>
      <c r="J8" t="s">
        <v>21</v>
      </c>
      <c r="K8" t="s">
        <v>22</v>
      </c>
      <c r="L8" t="s">
        <v>45</v>
      </c>
      <c r="M8" s="2">
        <v>46268</v>
      </c>
      <c r="N8" t="str">
        <f>_xlfn.XLOOKUP(tblTickets[[#This Row],[Record ID]],Suppliers!A:A,Suppliers!E:E,"Not found")</f>
        <v>Delivery risk</v>
      </c>
      <c r="O8">
        <f ca="1">IF(tblTickets[[#This Row],[Closed On]]="",TODAY()-tblTickets[[#This Row],[Created On]],tblTickets[[#This Row],[Closed On]]-tblTickets[[#This Row],[Created On]])</f>
        <v>2</v>
      </c>
      <c r="P8">
        <f>_xlfn.XLOOKUP(tblTickets[[#This Row],[Priority]],Lists!B:B,Lists!C:C)</f>
        <v>20</v>
      </c>
      <c r="Q8" s="4" t="str">
        <f ca="1">IF(tblTickets[[#This Row],[Age (days)]]&gt;tblTickets[[#This Row],[SLA (days)]],"Breached","OK")</f>
        <v>OK</v>
      </c>
    </row>
    <row r="9" spans="1:17" x14ac:dyDescent="0.2">
      <c r="A9" t="s">
        <v>52</v>
      </c>
      <c r="B9" s="2">
        <v>46268</v>
      </c>
      <c r="C9" t="s">
        <v>14</v>
      </c>
      <c r="D9" t="s">
        <v>53</v>
      </c>
      <c r="E9" t="s">
        <v>54</v>
      </c>
      <c r="F9" t="s">
        <v>17</v>
      </c>
      <c r="G9" t="s">
        <v>18</v>
      </c>
      <c r="H9" t="s">
        <v>19</v>
      </c>
      <c r="I9" t="s">
        <v>20</v>
      </c>
      <c r="J9" t="s">
        <v>21</v>
      </c>
      <c r="K9" t="s">
        <v>40</v>
      </c>
      <c r="L9" t="s">
        <v>27</v>
      </c>
      <c r="M9" s="2"/>
      <c r="N9" t="str">
        <f>_xlfn.XLOOKUP(tblTickets[[#This Row],[Record ID]],Suppliers!A:A,Suppliers!E:E,"Not found")</f>
        <v>Reliable, lower spend</v>
      </c>
      <c r="O9">
        <f ca="1">IF(tblTickets[[#This Row],[Closed On]]="",TODAY()-tblTickets[[#This Row],[Created On]],tblTickets[[#This Row],[Closed On]]-tblTickets[[#This Row],[Created On]])</f>
        <v>32</v>
      </c>
      <c r="P9">
        <f>_xlfn.XLOOKUP(tblTickets[[#This Row],[Priority]],Lists!B:B,Lists!C:C)</f>
        <v>20</v>
      </c>
      <c r="Q9" s="4" t="str">
        <f ca="1">IF(tblTickets[[#This Row],[Age (days)]]&gt;tblTickets[[#This Row],[SLA (days)]],"Breached","OK")</f>
        <v>Breached</v>
      </c>
    </row>
    <row r="10" spans="1:17" x14ac:dyDescent="0.2">
      <c r="A10" t="s">
        <v>55</v>
      </c>
      <c r="B10" s="2">
        <v>46267</v>
      </c>
      <c r="C10" t="s">
        <v>14</v>
      </c>
      <c r="D10" t="s">
        <v>56</v>
      </c>
      <c r="E10" t="s">
        <v>57</v>
      </c>
      <c r="F10" t="s">
        <v>17</v>
      </c>
      <c r="G10" t="s">
        <v>18</v>
      </c>
      <c r="H10" t="s">
        <v>19</v>
      </c>
      <c r="I10" t="s">
        <v>20</v>
      </c>
      <c r="J10" t="s">
        <v>21</v>
      </c>
      <c r="K10" t="s">
        <v>22</v>
      </c>
      <c r="L10" t="s">
        <v>23</v>
      </c>
      <c r="M10" s="2">
        <v>46273</v>
      </c>
      <c r="N10" t="str">
        <f>_xlfn.XLOOKUP(tblTickets[[#This Row],[Record ID]],Suppliers!A:A,Suppliers!E:E,"Not found")</f>
        <v>Quality risk</v>
      </c>
      <c r="O10">
        <f ca="1">IF(tblTickets[[#This Row],[Closed On]]="",TODAY()-tblTickets[[#This Row],[Created On]],tblTickets[[#This Row],[Closed On]]-tblTickets[[#This Row],[Created On]])</f>
        <v>6</v>
      </c>
      <c r="P10">
        <f>_xlfn.XLOOKUP(tblTickets[[#This Row],[Priority]],Lists!B:B,Lists!C:C)</f>
        <v>20</v>
      </c>
      <c r="Q10" s="4" t="str">
        <f ca="1">IF(tblTickets[[#This Row],[Age (days)]]&gt;tblTickets[[#This Row],[SLA (days)]],"Breached","OK")</f>
        <v>OK</v>
      </c>
    </row>
    <row r="11" spans="1:17" x14ac:dyDescent="0.2">
      <c r="A11" t="s">
        <v>58</v>
      </c>
      <c r="B11" s="2">
        <v>46278</v>
      </c>
      <c r="C11" t="s">
        <v>14</v>
      </c>
      <c r="D11" t="s">
        <v>59</v>
      </c>
      <c r="E11" t="s">
        <v>60</v>
      </c>
      <c r="F11" t="s">
        <v>17</v>
      </c>
      <c r="G11" t="s">
        <v>18</v>
      </c>
      <c r="H11" t="s">
        <v>19</v>
      </c>
      <c r="I11" t="s">
        <v>20</v>
      </c>
      <c r="J11" t="s">
        <v>21</v>
      </c>
      <c r="K11" t="s">
        <v>31</v>
      </c>
      <c r="L11" t="s">
        <v>41</v>
      </c>
      <c r="M11" s="2"/>
      <c r="N11" t="str">
        <f>_xlfn.XLOOKUP(tblTickets[[#This Row],[Record ID]],Suppliers!A:A,Suppliers!E:E,"Not found")</f>
        <v>Strategic and reliable</v>
      </c>
      <c r="O11">
        <f ca="1">IF(tblTickets[[#This Row],[Closed On]]="",TODAY()-tblTickets[[#This Row],[Created On]],tblTickets[[#This Row],[Closed On]]-tblTickets[[#This Row],[Created On]])</f>
        <v>22</v>
      </c>
      <c r="P11">
        <f>_xlfn.XLOOKUP(tblTickets[[#This Row],[Priority]],Lists!B:B,Lists!C:C)</f>
        <v>20</v>
      </c>
      <c r="Q11" s="4" t="str">
        <f ca="1">IF(tblTickets[[#This Row],[Age (days)]]&gt;tblTickets[[#This Row],[SLA (days)]],"Breached","OK")</f>
        <v>Breached</v>
      </c>
    </row>
    <row r="12" spans="1:17" x14ac:dyDescent="0.2">
      <c r="A12" t="s">
        <v>61</v>
      </c>
      <c r="B12" s="2">
        <v>46297</v>
      </c>
      <c r="C12" t="s">
        <v>14</v>
      </c>
      <c r="D12" t="s">
        <v>62</v>
      </c>
      <c r="E12" t="s">
        <v>63</v>
      </c>
      <c r="F12" t="s">
        <v>17</v>
      </c>
      <c r="G12" t="s">
        <v>18</v>
      </c>
      <c r="H12" t="s">
        <v>19</v>
      </c>
      <c r="I12" t="s">
        <v>20</v>
      </c>
      <c r="J12" t="s">
        <v>21</v>
      </c>
      <c r="K12" t="s">
        <v>40</v>
      </c>
      <c r="L12" t="s">
        <v>45</v>
      </c>
      <c r="M12" s="2"/>
      <c r="N12" t="str">
        <f>_xlfn.XLOOKUP(tblTickets[[#This Row],[Record ID]],Suppliers!A:A,Suppliers!E:E,"Not found")</f>
        <v>Critical: quality and delivery</v>
      </c>
      <c r="O12">
        <f ca="1">IF(tblTickets[[#This Row],[Closed On]]="",TODAY()-tblTickets[[#This Row],[Created On]],tblTickets[[#This Row],[Closed On]]-tblTickets[[#This Row],[Created On]])</f>
        <v>3</v>
      </c>
      <c r="P12">
        <f>_xlfn.XLOOKUP(tblTickets[[#This Row],[Priority]],Lists!B:B,Lists!C:C)</f>
        <v>20</v>
      </c>
      <c r="Q12" s="4" t="str">
        <f ca="1">IF(tblTickets[[#This Row],[Age (days)]]&gt;tblTickets[[#This Row],[SLA (days)]],"Breached","OK")</f>
        <v>OK</v>
      </c>
    </row>
    <row r="13" spans="1:17" x14ac:dyDescent="0.2">
      <c r="A13" t="s">
        <v>64</v>
      </c>
      <c r="B13" s="2">
        <v>46295</v>
      </c>
      <c r="C13" t="s">
        <v>14</v>
      </c>
      <c r="D13" t="s">
        <v>65</v>
      </c>
      <c r="E13" t="s">
        <v>66</v>
      </c>
      <c r="F13" t="s">
        <v>17</v>
      </c>
      <c r="G13" t="s">
        <v>18</v>
      </c>
      <c r="H13" t="s">
        <v>19</v>
      </c>
      <c r="I13" t="s">
        <v>20</v>
      </c>
      <c r="J13" t="s">
        <v>21</v>
      </c>
      <c r="K13" t="s">
        <v>22</v>
      </c>
      <c r="L13" t="s">
        <v>32</v>
      </c>
      <c r="M13" s="2">
        <v>46300</v>
      </c>
      <c r="N13" t="str">
        <f>_xlfn.XLOOKUP(tblTickets[[#This Row],[Record ID]],Suppliers!A:A,Suppliers!E:E,"Not found")</f>
        <v>Reliable, lower spend</v>
      </c>
      <c r="O13">
        <f ca="1">IF(tblTickets[[#This Row],[Closed On]]="",TODAY()-tblTickets[[#This Row],[Created On]],tblTickets[[#This Row],[Closed On]]-tblTickets[[#This Row],[Created On]])</f>
        <v>5</v>
      </c>
      <c r="P13">
        <f>_xlfn.XLOOKUP(tblTickets[[#This Row],[Priority]],Lists!B:B,Lists!C:C)</f>
        <v>20</v>
      </c>
      <c r="Q13" s="4" t="str">
        <f ca="1">IF(tblTickets[[#This Row],[Age (days)]]&gt;tblTickets[[#This Row],[SLA (days)]],"Breached","OK")</f>
        <v>OK</v>
      </c>
    </row>
    <row r="14" spans="1:17" x14ac:dyDescent="0.2">
      <c r="A14" t="s">
        <v>67</v>
      </c>
      <c r="B14" s="2">
        <v>46271</v>
      </c>
      <c r="C14" t="s">
        <v>14</v>
      </c>
      <c r="D14" t="s">
        <v>68</v>
      </c>
      <c r="E14" t="s">
        <v>69</v>
      </c>
      <c r="F14" t="s">
        <v>17</v>
      </c>
      <c r="G14" t="s">
        <v>18</v>
      </c>
      <c r="H14" t="s">
        <v>19</v>
      </c>
      <c r="I14" t="s">
        <v>20</v>
      </c>
      <c r="J14" t="s">
        <v>21</v>
      </c>
      <c r="K14" t="s">
        <v>22</v>
      </c>
      <c r="L14" t="s">
        <v>27</v>
      </c>
      <c r="M14" s="2">
        <v>46277</v>
      </c>
      <c r="N14" t="str">
        <f>_xlfn.XLOOKUP(tblTickets[[#This Row],[Record ID]],Suppliers!A:A,Suppliers!E:E,"Not found")</f>
        <v>Reliable, lower spend</v>
      </c>
      <c r="O14">
        <f ca="1">IF(tblTickets[[#This Row],[Closed On]]="",TODAY()-tblTickets[[#This Row],[Created On]],tblTickets[[#This Row],[Closed On]]-tblTickets[[#This Row],[Created On]])</f>
        <v>6</v>
      </c>
      <c r="P14">
        <f>_xlfn.XLOOKUP(tblTickets[[#This Row],[Priority]],Lists!B:B,Lists!C:C)</f>
        <v>20</v>
      </c>
      <c r="Q14" s="4" t="str">
        <f ca="1">IF(tblTickets[[#This Row],[Age (days)]]&gt;tblTickets[[#This Row],[SLA (days)]],"Breached","OK")</f>
        <v>OK</v>
      </c>
    </row>
    <row r="15" spans="1:17" x14ac:dyDescent="0.2">
      <c r="A15" t="s">
        <v>70</v>
      </c>
      <c r="B15" s="2">
        <v>46298</v>
      </c>
      <c r="C15" t="s">
        <v>14</v>
      </c>
      <c r="D15" t="s">
        <v>71</v>
      </c>
      <c r="E15" t="s">
        <v>72</v>
      </c>
      <c r="F15" t="s">
        <v>36</v>
      </c>
      <c r="G15" t="s">
        <v>18</v>
      </c>
      <c r="H15" t="s">
        <v>37</v>
      </c>
      <c r="I15" t="s">
        <v>73</v>
      </c>
      <c r="J15" t="s">
        <v>39</v>
      </c>
      <c r="K15" t="s">
        <v>31</v>
      </c>
      <c r="L15" t="s">
        <v>45</v>
      </c>
      <c r="M15" s="2"/>
      <c r="N15" t="str">
        <f>_xlfn.XLOOKUP(tblTickets[[#This Row],[Record ID]],Suppliers!A:A,Suppliers!E:E,"Not found")</f>
        <v>Critical: quality and delivery</v>
      </c>
      <c r="O15">
        <f ca="1">IF(tblTickets[[#This Row],[Closed On]]="",TODAY()-tblTickets[[#This Row],[Created On]],tblTickets[[#This Row],[Closed On]]-tblTickets[[#This Row],[Created On]])</f>
        <v>2</v>
      </c>
      <c r="P15">
        <f>_xlfn.XLOOKUP(tblTickets[[#This Row],[Priority]],Lists!B:B,Lists!C:C)</f>
        <v>10</v>
      </c>
      <c r="Q15" s="4" t="str">
        <f ca="1">IF(tblTickets[[#This Row],[Age (days)]]&gt;tblTickets[[#This Row],[SLA (days)]],"Breached","OK")</f>
        <v>OK</v>
      </c>
    </row>
    <row r="16" spans="1:17" x14ac:dyDescent="0.2">
      <c r="A16" t="s">
        <v>74</v>
      </c>
      <c r="B16" s="2">
        <v>46272</v>
      </c>
      <c r="C16" t="s">
        <v>14</v>
      </c>
      <c r="D16" t="s">
        <v>75</v>
      </c>
      <c r="E16" t="s">
        <v>76</v>
      </c>
      <c r="F16" t="s">
        <v>17</v>
      </c>
      <c r="G16" t="s">
        <v>18</v>
      </c>
      <c r="H16" t="s">
        <v>19</v>
      </c>
      <c r="I16" t="s">
        <v>20</v>
      </c>
      <c r="J16" t="s">
        <v>21</v>
      </c>
      <c r="K16" t="s">
        <v>31</v>
      </c>
      <c r="L16" t="s">
        <v>41</v>
      </c>
      <c r="M16" s="2"/>
      <c r="N16" t="str">
        <f>_xlfn.XLOOKUP(tblTickets[[#This Row],[Record ID]],Suppliers!A:A,Suppliers!E:E,"Not found")</f>
        <v>Quality risk</v>
      </c>
      <c r="O16">
        <f ca="1">IF(tblTickets[[#This Row],[Closed On]]="",TODAY()-tblTickets[[#This Row],[Created On]],tblTickets[[#This Row],[Closed On]]-tblTickets[[#This Row],[Created On]])</f>
        <v>28</v>
      </c>
      <c r="P16">
        <f>_xlfn.XLOOKUP(tblTickets[[#This Row],[Priority]],Lists!B:B,Lists!C:C)</f>
        <v>20</v>
      </c>
      <c r="Q16" s="4" t="str">
        <f ca="1">IF(tblTickets[[#This Row],[Age (days)]]&gt;tblTickets[[#This Row],[SLA (days)]],"Breached","OK")</f>
        <v>Breached</v>
      </c>
    </row>
    <row r="17" spans="1:17" x14ac:dyDescent="0.2">
      <c r="A17" t="s">
        <v>77</v>
      </c>
      <c r="B17" s="2">
        <v>46290</v>
      </c>
      <c r="C17" t="s">
        <v>14</v>
      </c>
      <c r="D17" t="s">
        <v>78</v>
      </c>
      <c r="E17" t="s">
        <v>79</v>
      </c>
      <c r="F17" t="s">
        <v>17</v>
      </c>
      <c r="G17" t="s">
        <v>18</v>
      </c>
      <c r="H17" t="s">
        <v>19</v>
      </c>
      <c r="I17" t="s">
        <v>20</v>
      </c>
      <c r="J17" t="s">
        <v>21</v>
      </c>
      <c r="K17" t="s">
        <v>40</v>
      </c>
      <c r="L17" t="s">
        <v>45</v>
      </c>
      <c r="M17" s="2"/>
      <c r="N17" t="str">
        <f>_xlfn.XLOOKUP(tblTickets[[#This Row],[Record ID]],Suppliers!A:A,Suppliers!E:E,"Not found")</f>
        <v>Delivery risk</v>
      </c>
      <c r="O17">
        <f ca="1">IF(tblTickets[[#This Row],[Closed On]]="",TODAY()-tblTickets[[#This Row],[Created On]],tblTickets[[#This Row],[Closed On]]-tblTickets[[#This Row],[Created On]])</f>
        <v>10</v>
      </c>
      <c r="P17">
        <f>_xlfn.XLOOKUP(tblTickets[[#This Row],[Priority]],Lists!B:B,Lists!C:C)</f>
        <v>20</v>
      </c>
      <c r="Q17" s="4" t="str">
        <f ca="1">IF(tblTickets[[#This Row],[Age (days)]]&gt;tblTickets[[#This Row],[SLA (days)]],"Breached","OK")</f>
        <v>OK</v>
      </c>
    </row>
    <row r="18" spans="1:17" x14ac:dyDescent="0.2">
      <c r="A18" t="s">
        <v>80</v>
      </c>
      <c r="B18" s="2">
        <v>46266</v>
      </c>
      <c r="C18" t="s">
        <v>14</v>
      </c>
      <c r="D18" t="s">
        <v>81</v>
      </c>
      <c r="E18" t="s">
        <v>82</v>
      </c>
      <c r="F18" t="s">
        <v>17</v>
      </c>
      <c r="G18" t="s">
        <v>18</v>
      </c>
      <c r="H18" t="s">
        <v>19</v>
      </c>
      <c r="I18" t="s">
        <v>20</v>
      </c>
      <c r="J18" t="s">
        <v>21</v>
      </c>
      <c r="K18" t="s">
        <v>40</v>
      </c>
      <c r="L18" t="s">
        <v>45</v>
      </c>
      <c r="M18" s="2"/>
      <c r="N18" t="str">
        <f>_xlfn.XLOOKUP(tblTickets[[#This Row],[Record ID]],Suppliers!A:A,Suppliers!E:E,"Not found")</f>
        <v>Reliable, lower spend</v>
      </c>
      <c r="O18">
        <f ca="1">IF(tblTickets[[#This Row],[Closed On]]="",TODAY()-tblTickets[[#This Row],[Created On]],tblTickets[[#This Row],[Closed On]]-tblTickets[[#This Row],[Created On]])</f>
        <v>34</v>
      </c>
      <c r="P18">
        <f>_xlfn.XLOOKUP(tblTickets[[#This Row],[Priority]],Lists!B:B,Lists!C:C)</f>
        <v>20</v>
      </c>
      <c r="Q18" s="4" t="str">
        <f ca="1">IF(tblTickets[[#This Row],[Age (days)]]&gt;tblTickets[[#This Row],[SLA (days)]],"Breached","OK")</f>
        <v>Breached</v>
      </c>
    </row>
    <row r="19" spans="1:17" x14ac:dyDescent="0.2">
      <c r="A19" t="s">
        <v>83</v>
      </c>
      <c r="B19" s="2">
        <v>46296</v>
      </c>
      <c r="C19" t="s">
        <v>14</v>
      </c>
      <c r="D19" t="s">
        <v>84</v>
      </c>
      <c r="E19" t="s">
        <v>85</v>
      </c>
      <c r="F19" t="s">
        <v>17</v>
      </c>
      <c r="G19" t="s">
        <v>18</v>
      </c>
      <c r="H19" t="s">
        <v>19</v>
      </c>
      <c r="I19" t="s">
        <v>20</v>
      </c>
      <c r="J19" t="s">
        <v>21</v>
      </c>
      <c r="K19" t="s">
        <v>31</v>
      </c>
      <c r="L19" t="s">
        <v>23</v>
      </c>
      <c r="M19" s="2"/>
      <c r="N19" t="str">
        <f>_xlfn.XLOOKUP(tblTickets[[#This Row],[Record ID]],Suppliers!A:A,Suppliers!E:E,"Not found")</f>
        <v>Strategic and reliable</v>
      </c>
      <c r="O19">
        <f ca="1">IF(tblTickets[[#This Row],[Closed On]]="",TODAY()-tblTickets[[#This Row],[Created On]],tblTickets[[#This Row],[Closed On]]-tblTickets[[#This Row],[Created On]])</f>
        <v>4</v>
      </c>
      <c r="P19">
        <f>_xlfn.XLOOKUP(tblTickets[[#This Row],[Priority]],Lists!B:B,Lists!C:C)</f>
        <v>20</v>
      </c>
      <c r="Q19" s="4" t="str">
        <f ca="1">IF(tblTickets[[#This Row],[Age (days)]]&gt;tblTickets[[#This Row],[SLA (days)]],"Breached","OK")</f>
        <v>OK</v>
      </c>
    </row>
    <row r="20" spans="1:17" x14ac:dyDescent="0.2">
      <c r="A20" t="s">
        <v>86</v>
      </c>
      <c r="B20" s="2">
        <v>46292</v>
      </c>
      <c r="C20" t="s">
        <v>14</v>
      </c>
      <c r="D20" t="s">
        <v>87</v>
      </c>
      <c r="E20" t="s">
        <v>88</v>
      </c>
      <c r="F20" t="s">
        <v>17</v>
      </c>
      <c r="G20" t="s">
        <v>18</v>
      </c>
      <c r="H20" t="s">
        <v>19</v>
      </c>
      <c r="I20" t="s">
        <v>20</v>
      </c>
      <c r="J20" t="s">
        <v>21</v>
      </c>
      <c r="K20" t="s">
        <v>40</v>
      </c>
      <c r="L20" t="s">
        <v>27</v>
      </c>
      <c r="M20" s="2"/>
      <c r="N20" t="str">
        <f>_xlfn.XLOOKUP(tblTickets[[#This Row],[Record ID]],Suppliers!A:A,Suppliers!E:E,"Not found")</f>
        <v>Critical: quality and delivery</v>
      </c>
      <c r="O20">
        <f ca="1">IF(tblTickets[[#This Row],[Closed On]]="",TODAY()-tblTickets[[#This Row],[Created On]],tblTickets[[#This Row],[Closed On]]-tblTickets[[#This Row],[Created On]])</f>
        <v>8</v>
      </c>
      <c r="P20">
        <f>_xlfn.XLOOKUP(tblTickets[[#This Row],[Priority]],Lists!B:B,Lists!C:C)</f>
        <v>20</v>
      </c>
      <c r="Q20" s="4" t="str">
        <f ca="1">IF(tblTickets[[#This Row],[Age (days)]]&gt;tblTickets[[#This Row],[SLA (days)]],"Breached","OK")</f>
        <v>OK</v>
      </c>
    </row>
    <row r="21" spans="1:17" x14ac:dyDescent="0.2">
      <c r="A21" t="s">
        <v>89</v>
      </c>
      <c r="B21" s="2">
        <v>46283</v>
      </c>
      <c r="C21" t="s">
        <v>14</v>
      </c>
      <c r="D21" t="s">
        <v>90</v>
      </c>
      <c r="E21" t="s">
        <v>91</v>
      </c>
      <c r="F21" t="s">
        <v>36</v>
      </c>
      <c r="G21" t="s">
        <v>18</v>
      </c>
      <c r="H21" t="s">
        <v>37</v>
      </c>
      <c r="I21" t="s">
        <v>38</v>
      </c>
      <c r="J21" t="s">
        <v>39</v>
      </c>
      <c r="K21" t="s">
        <v>31</v>
      </c>
      <c r="L21" t="s">
        <v>41</v>
      </c>
      <c r="M21" s="2"/>
      <c r="N21" t="str">
        <f>_xlfn.XLOOKUP(tblTickets[[#This Row],[Record ID]],Suppliers!A:A,Suppliers!E:E,"Not found")</f>
        <v>Quality risk</v>
      </c>
      <c r="O21">
        <f ca="1">IF(tblTickets[[#This Row],[Closed On]]="",TODAY()-tblTickets[[#This Row],[Created On]],tblTickets[[#This Row],[Closed On]]-tblTickets[[#This Row],[Created On]])</f>
        <v>17</v>
      </c>
      <c r="P21">
        <f>_xlfn.XLOOKUP(tblTickets[[#This Row],[Priority]],Lists!B:B,Lists!C:C)</f>
        <v>10</v>
      </c>
      <c r="Q21" s="4" t="str">
        <f ca="1">IF(tblTickets[[#This Row],[Age (days)]]&gt;tblTickets[[#This Row],[SLA (days)]],"Breached","OK")</f>
        <v>Breached</v>
      </c>
    </row>
    <row r="22" spans="1:17" x14ac:dyDescent="0.2">
      <c r="A22" t="s">
        <v>92</v>
      </c>
      <c r="B22" s="2">
        <v>46287</v>
      </c>
      <c r="C22" t="s">
        <v>14</v>
      </c>
      <c r="D22" t="s">
        <v>93</v>
      </c>
      <c r="E22" t="s">
        <v>94</v>
      </c>
      <c r="F22" t="s">
        <v>17</v>
      </c>
      <c r="G22" t="s">
        <v>18</v>
      </c>
      <c r="H22" t="s">
        <v>19</v>
      </c>
      <c r="I22" t="s">
        <v>20</v>
      </c>
      <c r="J22" t="s">
        <v>21</v>
      </c>
      <c r="K22" t="s">
        <v>40</v>
      </c>
      <c r="L22" t="s">
        <v>23</v>
      </c>
      <c r="M22" s="2"/>
      <c r="N22" t="str">
        <f>_xlfn.XLOOKUP(tblTickets[[#This Row],[Record ID]],Suppliers!A:A,Suppliers!E:E,"Not found")</f>
        <v>Reliable, lower spend</v>
      </c>
      <c r="O22">
        <f ca="1">IF(tblTickets[[#This Row],[Closed On]]="",TODAY()-tblTickets[[#This Row],[Created On]],tblTickets[[#This Row],[Closed On]]-tblTickets[[#This Row],[Created On]])</f>
        <v>13</v>
      </c>
      <c r="P22">
        <f>_xlfn.XLOOKUP(tblTickets[[#This Row],[Priority]],Lists!B:B,Lists!C:C)</f>
        <v>20</v>
      </c>
      <c r="Q22" s="4" t="str">
        <f ca="1">IF(tblTickets[[#This Row],[Age (days)]]&gt;tblTickets[[#This Row],[SLA (days)]],"Breached","OK")</f>
        <v>OK</v>
      </c>
    </row>
    <row r="23" spans="1:17" x14ac:dyDescent="0.2">
      <c r="A23" t="s">
        <v>95</v>
      </c>
      <c r="B23" s="2">
        <v>46273</v>
      </c>
      <c r="C23" t="s">
        <v>14</v>
      </c>
      <c r="D23" t="s">
        <v>96</v>
      </c>
      <c r="E23" t="s">
        <v>97</v>
      </c>
      <c r="F23" t="s">
        <v>17</v>
      </c>
      <c r="G23" t="s">
        <v>18</v>
      </c>
      <c r="H23" t="s">
        <v>19</v>
      </c>
      <c r="I23" t="s">
        <v>20</v>
      </c>
      <c r="J23" t="s">
        <v>21</v>
      </c>
      <c r="K23" t="s">
        <v>40</v>
      </c>
      <c r="L23" t="s">
        <v>45</v>
      </c>
      <c r="M23" s="2"/>
      <c r="N23" t="str">
        <f>_xlfn.XLOOKUP(tblTickets[[#This Row],[Record ID]],Suppliers!A:A,Suppliers!E:E,"Not found")</f>
        <v>Critical: quality and delivery</v>
      </c>
      <c r="O23">
        <f ca="1">IF(tblTickets[[#This Row],[Closed On]]="",TODAY()-tblTickets[[#This Row],[Created On]],tblTickets[[#This Row],[Closed On]]-tblTickets[[#This Row],[Created On]])</f>
        <v>27</v>
      </c>
      <c r="P23">
        <f>_xlfn.XLOOKUP(tblTickets[[#This Row],[Priority]],Lists!B:B,Lists!C:C)</f>
        <v>20</v>
      </c>
      <c r="Q23" s="4" t="str">
        <f ca="1">IF(tblTickets[[#This Row],[Age (days)]]&gt;tblTickets[[#This Row],[SLA (days)]],"Breached","OK")</f>
        <v>Breached</v>
      </c>
    </row>
    <row r="24" spans="1:17" x14ac:dyDescent="0.2">
      <c r="A24" t="s">
        <v>98</v>
      </c>
      <c r="B24" s="2">
        <v>46266</v>
      </c>
      <c r="C24" t="s">
        <v>14</v>
      </c>
      <c r="D24" t="s">
        <v>99</v>
      </c>
      <c r="E24" t="s">
        <v>100</v>
      </c>
      <c r="F24" t="s">
        <v>17</v>
      </c>
      <c r="G24" t="s">
        <v>18</v>
      </c>
      <c r="H24" t="s">
        <v>19</v>
      </c>
      <c r="I24" t="s">
        <v>20</v>
      </c>
      <c r="J24" t="s">
        <v>21</v>
      </c>
      <c r="K24" t="s">
        <v>40</v>
      </c>
      <c r="L24" t="s">
        <v>23</v>
      </c>
      <c r="M24" s="2"/>
      <c r="N24" t="str">
        <f>_xlfn.XLOOKUP(tblTickets[[#This Row],[Record ID]],Suppliers!A:A,Suppliers!E:E,"Not found")</f>
        <v>Delivery risk</v>
      </c>
      <c r="O24">
        <f ca="1">IF(tblTickets[[#This Row],[Closed On]]="",TODAY()-tblTickets[[#This Row],[Created On]],tblTickets[[#This Row],[Closed On]]-tblTickets[[#This Row],[Created On]])</f>
        <v>34</v>
      </c>
      <c r="P24">
        <f>_xlfn.XLOOKUP(tblTickets[[#This Row],[Priority]],Lists!B:B,Lists!C:C)</f>
        <v>20</v>
      </c>
      <c r="Q24" s="4" t="str">
        <f ca="1">IF(tblTickets[[#This Row],[Age (days)]]&gt;tblTickets[[#This Row],[SLA (days)]],"Breached","OK")</f>
        <v>Breached</v>
      </c>
    </row>
    <row r="25" spans="1:17" x14ac:dyDescent="0.2">
      <c r="A25" t="s">
        <v>101</v>
      </c>
      <c r="B25" s="2">
        <v>46277</v>
      </c>
      <c r="C25" t="s">
        <v>14</v>
      </c>
      <c r="D25" t="s">
        <v>102</v>
      </c>
      <c r="E25" t="s">
        <v>103</v>
      </c>
      <c r="F25" t="s">
        <v>17</v>
      </c>
      <c r="G25" t="s">
        <v>18</v>
      </c>
      <c r="H25" t="s">
        <v>19</v>
      </c>
      <c r="I25" t="s">
        <v>20</v>
      </c>
      <c r="J25" t="s">
        <v>21</v>
      </c>
      <c r="K25" t="s">
        <v>22</v>
      </c>
      <c r="L25" t="s">
        <v>23</v>
      </c>
      <c r="M25" s="2">
        <v>46281</v>
      </c>
      <c r="N25" t="str">
        <f>_xlfn.XLOOKUP(tblTickets[[#This Row],[Record ID]],Suppliers!A:A,Suppliers!E:E,"Not found")</f>
        <v>Strategic and reliable</v>
      </c>
      <c r="O25">
        <f ca="1">IF(tblTickets[[#This Row],[Closed On]]="",TODAY()-tblTickets[[#This Row],[Created On]],tblTickets[[#This Row],[Closed On]]-tblTickets[[#This Row],[Created On]])</f>
        <v>4</v>
      </c>
      <c r="P25">
        <f>_xlfn.XLOOKUP(tblTickets[[#This Row],[Priority]],Lists!B:B,Lists!C:C)</f>
        <v>20</v>
      </c>
      <c r="Q25" s="4" t="str">
        <f ca="1">IF(tblTickets[[#This Row],[Age (days)]]&gt;tblTickets[[#This Row],[SLA (days)]],"Breached","OK")</f>
        <v>OK</v>
      </c>
    </row>
    <row r="26" spans="1:17" x14ac:dyDescent="0.2">
      <c r="A26" t="s">
        <v>104</v>
      </c>
      <c r="B26" s="2">
        <v>46298</v>
      </c>
      <c r="C26" t="s">
        <v>14</v>
      </c>
      <c r="D26" t="s">
        <v>105</v>
      </c>
      <c r="E26" t="s">
        <v>106</v>
      </c>
      <c r="F26" t="s">
        <v>17</v>
      </c>
      <c r="G26" t="s">
        <v>18</v>
      </c>
      <c r="H26" t="s">
        <v>19</v>
      </c>
      <c r="I26" t="s">
        <v>20</v>
      </c>
      <c r="J26" t="s">
        <v>21</v>
      </c>
      <c r="K26" t="s">
        <v>40</v>
      </c>
      <c r="L26" t="s">
        <v>27</v>
      </c>
      <c r="M26" s="2"/>
      <c r="N26" t="str">
        <f>_xlfn.XLOOKUP(tblTickets[[#This Row],[Record ID]],Suppliers!A:A,Suppliers!E:E,"Not found")</f>
        <v>Critical: quality and delivery</v>
      </c>
      <c r="O26">
        <f ca="1">IF(tblTickets[[#This Row],[Closed On]]="",TODAY()-tblTickets[[#This Row],[Created On]],tblTickets[[#This Row],[Closed On]]-tblTickets[[#This Row],[Created On]])</f>
        <v>2</v>
      </c>
      <c r="P26">
        <f>_xlfn.XLOOKUP(tblTickets[[#This Row],[Priority]],Lists!B:B,Lists!C:C)</f>
        <v>20</v>
      </c>
      <c r="Q26" s="4" t="str">
        <f ca="1">IF(tblTickets[[#This Row],[Age (days)]]&gt;tblTickets[[#This Row],[SLA (days)]],"Breached","OK")</f>
        <v>OK</v>
      </c>
    </row>
    <row r="27" spans="1:17" x14ac:dyDescent="0.2">
      <c r="A27" t="s">
        <v>107</v>
      </c>
      <c r="B27" s="2">
        <v>46292</v>
      </c>
      <c r="C27" t="s">
        <v>108</v>
      </c>
      <c r="D27" t="s">
        <v>109</v>
      </c>
      <c r="E27" t="s">
        <v>110</v>
      </c>
      <c r="F27" t="s">
        <v>111</v>
      </c>
      <c r="G27" t="s">
        <v>112</v>
      </c>
      <c r="H27" t="s">
        <v>113</v>
      </c>
      <c r="I27" t="s">
        <v>114</v>
      </c>
      <c r="J27" t="s">
        <v>39</v>
      </c>
      <c r="K27" t="s">
        <v>22</v>
      </c>
      <c r="L27" t="s">
        <v>23</v>
      </c>
      <c r="M27" s="2">
        <v>46294</v>
      </c>
      <c r="N27" t="str">
        <f>_xlfn.XLOOKUP(tblTickets[[#This Row],[Record ID]],Suppliers!A:A,Suppliers!E:E,"Not found")</f>
        <v>Reliable, lower spend</v>
      </c>
      <c r="O27">
        <f ca="1">IF(tblTickets[[#This Row],[Closed On]]="",TODAY()-tblTickets[[#This Row],[Created On]],tblTickets[[#This Row],[Closed On]]-tblTickets[[#This Row],[Created On]])</f>
        <v>2</v>
      </c>
      <c r="P27">
        <f>_xlfn.XLOOKUP(tblTickets[[#This Row],[Priority]],Lists!B:B,Lists!C:C)</f>
        <v>10</v>
      </c>
      <c r="Q27" s="4" t="str">
        <f ca="1">IF(tblTickets[[#This Row],[Age (days)]]&gt;tblTickets[[#This Row],[SLA (days)]],"Breached","OK")</f>
        <v>OK</v>
      </c>
    </row>
    <row r="28" spans="1:17" x14ac:dyDescent="0.2">
      <c r="A28" t="s">
        <v>115</v>
      </c>
      <c r="B28" s="2">
        <v>46292</v>
      </c>
      <c r="C28" t="s">
        <v>108</v>
      </c>
      <c r="D28" t="s">
        <v>116</v>
      </c>
      <c r="E28" t="s">
        <v>117</v>
      </c>
      <c r="F28" t="s">
        <v>118</v>
      </c>
      <c r="G28" t="s">
        <v>112</v>
      </c>
      <c r="H28" t="s">
        <v>119</v>
      </c>
      <c r="I28" t="s">
        <v>114</v>
      </c>
      <c r="J28" t="s">
        <v>120</v>
      </c>
      <c r="K28" t="s">
        <v>22</v>
      </c>
      <c r="L28" t="s">
        <v>41</v>
      </c>
      <c r="M28" s="2">
        <v>46293</v>
      </c>
      <c r="N28" t="str">
        <f>_xlfn.XLOOKUP(tblTickets[[#This Row],[Record ID]],Suppliers!A:A,Suppliers!E:E,"Not found")</f>
        <v>Strategic and reliable</v>
      </c>
      <c r="O28">
        <f ca="1">IF(tblTickets[[#This Row],[Closed On]]="",TODAY()-tblTickets[[#This Row],[Created On]],tblTickets[[#This Row],[Closed On]]-tblTickets[[#This Row],[Created On]])</f>
        <v>1</v>
      </c>
      <c r="P28">
        <f>_xlfn.XLOOKUP(tblTickets[[#This Row],[Priority]],Lists!B:B,Lists!C:C)</f>
        <v>5</v>
      </c>
      <c r="Q28" s="4" t="str">
        <f ca="1">IF(tblTickets[[#This Row],[Age (days)]]&gt;tblTickets[[#This Row],[SLA (days)]],"Breached","OK")</f>
        <v>OK</v>
      </c>
    </row>
    <row r="29" spans="1:17" x14ac:dyDescent="0.2">
      <c r="A29" t="s">
        <v>121</v>
      </c>
      <c r="B29" s="2">
        <v>46285</v>
      </c>
      <c r="C29" t="s">
        <v>108</v>
      </c>
      <c r="D29" t="s">
        <v>122</v>
      </c>
      <c r="E29" t="s">
        <v>123</v>
      </c>
      <c r="F29" t="s">
        <v>124</v>
      </c>
      <c r="G29" t="s">
        <v>112</v>
      </c>
      <c r="H29" t="s">
        <v>125</v>
      </c>
      <c r="I29" t="s">
        <v>114</v>
      </c>
      <c r="J29" t="s">
        <v>120</v>
      </c>
      <c r="K29" t="s">
        <v>22</v>
      </c>
      <c r="L29" t="s">
        <v>27</v>
      </c>
      <c r="M29" s="2">
        <v>46286</v>
      </c>
      <c r="N29" t="str">
        <f>_xlfn.XLOOKUP(tblTickets[[#This Row],[Record ID]],Suppliers!A:A,Suppliers!E:E,"Not found")</f>
        <v>Quality risk</v>
      </c>
      <c r="O29">
        <f ca="1">IF(tblTickets[[#This Row],[Closed On]]="",TODAY()-tblTickets[[#This Row],[Created On]],tblTickets[[#This Row],[Closed On]]-tblTickets[[#This Row],[Created On]])</f>
        <v>1</v>
      </c>
      <c r="P29">
        <f>_xlfn.XLOOKUP(tblTickets[[#This Row],[Priority]],Lists!B:B,Lists!C:C)</f>
        <v>5</v>
      </c>
      <c r="Q29" s="4" t="str">
        <f ca="1">IF(tblTickets[[#This Row],[Age (days)]]&gt;tblTickets[[#This Row],[SLA (days)]],"Breached","OK")</f>
        <v>OK</v>
      </c>
    </row>
    <row r="30" spans="1:17" x14ac:dyDescent="0.2">
      <c r="A30" t="s">
        <v>126</v>
      </c>
      <c r="B30" s="2">
        <v>46277</v>
      </c>
      <c r="C30" t="s">
        <v>108</v>
      </c>
      <c r="D30" t="s">
        <v>122</v>
      </c>
      <c r="E30" t="s">
        <v>123</v>
      </c>
      <c r="F30" t="s">
        <v>111</v>
      </c>
      <c r="G30" t="s">
        <v>112</v>
      </c>
      <c r="H30" t="s">
        <v>113</v>
      </c>
      <c r="I30" t="s">
        <v>114</v>
      </c>
      <c r="J30" t="s">
        <v>39</v>
      </c>
      <c r="K30" t="s">
        <v>31</v>
      </c>
      <c r="L30" t="s">
        <v>32</v>
      </c>
      <c r="M30" s="2"/>
      <c r="N30" t="str">
        <f>_xlfn.XLOOKUP(tblTickets[[#This Row],[Record ID]],Suppliers!A:A,Suppliers!E:E,"Not found")</f>
        <v>Quality risk</v>
      </c>
      <c r="O30">
        <f ca="1">IF(tblTickets[[#This Row],[Closed On]]="",TODAY()-tblTickets[[#This Row],[Created On]],tblTickets[[#This Row],[Closed On]]-tblTickets[[#This Row],[Created On]])</f>
        <v>23</v>
      </c>
      <c r="P30">
        <f>_xlfn.XLOOKUP(tblTickets[[#This Row],[Priority]],Lists!B:B,Lists!C:C)</f>
        <v>10</v>
      </c>
      <c r="Q30" s="4" t="str">
        <f ca="1">IF(tblTickets[[#This Row],[Age (days)]]&gt;tblTickets[[#This Row],[SLA (days)]],"Breached","OK")</f>
        <v>Breached</v>
      </c>
    </row>
    <row r="31" spans="1:17" x14ac:dyDescent="0.2">
      <c r="A31" t="s">
        <v>127</v>
      </c>
      <c r="B31" s="2">
        <v>46272</v>
      </c>
      <c r="C31" t="s">
        <v>108</v>
      </c>
      <c r="D31" t="s">
        <v>128</v>
      </c>
      <c r="E31" t="s">
        <v>129</v>
      </c>
      <c r="F31" t="s">
        <v>118</v>
      </c>
      <c r="G31" t="s">
        <v>112</v>
      </c>
      <c r="H31" t="s">
        <v>119</v>
      </c>
      <c r="I31" t="s">
        <v>114</v>
      </c>
      <c r="J31" t="s">
        <v>120</v>
      </c>
      <c r="K31" t="s">
        <v>40</v>
      </c>
      <c r="L31" t="s">
        <v>27</v>
      </c>
      <c r="M31" s="2"/>
      <c r="N31" t="str">
        <f>_xlfn.XLOOKUP(tblTickets[[#This Row],[Record ID]],Suppliers!A:A,Suppliers!E:E,"Not found")</f>
        <v>Delivery risk</v>
      </c>
      <c r="O31">
        <f ca="1">IF(tblTickets[[#This Row],[Closed On]]="",TODAY()-tblTickets[[#This Row],[Created On]],tblTickets[[#This Row],[Closed On]]-tblTickets[[#This Row],[Created On]])</f>
        <v>28</v>
      </c>
      <c r="P31">
        <f>_xlfn.XLOOKUP(tblTickets[[#This Row],[Priority]],Lists!B:B,Lists!C:C)</f>
        <v>5</v>
      </c>
      <c r="Q31" s="4" t="str">
        <f ca="1">IF(tblTickets[[#This Row],[Age (days)]]&gt;tblTickets[[#This Row],[SLA (days)]],"Breached","OK")</f>
        <v>Breached</v>
      </c>
    </row>
    <row r="32" spans="1:17" x14ac:dyDescent="0.2">
      <c r="A32" t="s">
        <v>130</v>
      </c>
      <c r="B32" s="2">
        <v>46279</v>
      </c>
      <c r="C32" t="s">
        <v>108</v>
      </c>
      <c r="D32" t="s">
        <v>131</v>
      </c>
      <c r="E32" t="s">
        <v>132</v>
      </c>
      <c r="F32" t="s">
        <v>124</v>
      </c>
      <c r="G32" t="s">
        <v>112</v>
      </c>
      <c r="H32" t="s">
        <v>125</v>
      </c>
      <c r="I32" t="s">
        <v>114</v>
      </c>
      <c r="J32" t="s">
        <v>120</v>
      </c>
      <c r="K32" t="s">
        <v>31</v>
      </c>
      <c r="L32" t="s">
        <v>45</v>
      </c>
      <c r="M32" s="2"/>
      <c r="N32" t="str">
        <f>_xlfn.XLOOKUP(tblTickets[[#This Row],[Record ID]],Suppliers!A:A,Suppliers!E:E,"Not found")</f>
        <v>Strategic and reliable</v>
      </c>
      <c r="O32">
        <f ca="1">IF(tblTickets[[#This Row],[Closed On]]="",TODAY()-tblTickets[[#This Row],[Created On]],tblTickets[[#This Row],[Closed On]]-tblTickets[[#This Row],[Created On]])</f>
        <v>21</v>
      </c>
      <c r="P32">
        <f>_xlfn.XLOOKUP(tblTickets[[#This Row],[Priority]],Lists!B:B,Lists!C:C)</f>
        <v>5</v>
      </c>
      <c r="Q32" s="4" t="str">
        <f ca="1">IF(tblTickets[[#This Row],[Age (days)]]&gt;tblTickets[[#This Row],[SLA (days)]],"Breached","OK")</f>
        <v>Breached</v>
      </c>
    </row>
    <row r="33" spans="1:17" x14ac:dyDescent="0.2">
      <c r="A33" t="s">
        <v>133</v>
      </c>
      <c r="B33" s="2">
        <v>46287</v>
      </c>
      <c r="C33" t="s">
        <v>108</v>
      </c>
      <c r="D33" t="s">
        <v>134</v>
      </c>
      <c r="E33" t="s">
        <v>135</v>
      </c>
      <c r="F33" t="s">
        <v>111</v>
      </c>
      <c r="G33" t="s">
        <v>112</v>
      </c>
      <c r="H33" t="s">
        <v>113</v>
      </c>
      <c r="I33" t="s">
        <v>114</v>
      </c>
      <c r="J33" t="s">
        <v>39</v>
      </c>
      <c r="K33" t="s">
        <v>22</v>
      </c>
      <c r="L33" t="s">
        <v>45</v>
      </c>
      <c r="M33" s="2">
        <v>46294</v>
      </c>
      <c r="N33" t="str">
        <f>_xlfn.XLOOKUP(tblTickets[[#This Row],[Record ID]],Suppliers!A:A,Suppliers!E:E,"Not found")</f>
        <v>Quality risk</v>
      </c>
      <c r="O33">
        <f ca="1">IF(tblTickets[[#This Row],[Closed On]]="",TODAY()-tblTickets[[#This Row],[Created On]],tblTickets[[#This Row],[Closed On]]-tblTickets[[#This Row],[Created On]])</f>
        <v>7</v>
      </c>
      <c r="P33">
        <f>_xlfn.XLOOKUP(tblTickets[[#This Row],[Priority]],Lists!B:B,Lists!C:C)</f>
        <v>10</v>
      </c>
      <c r="Q33" s="4" t="str">
        <f ca="1">IF(tblTickets[[#This Row],[Age (days)]]&gt;tblTickets[[#This Row],[SLA (days)]],"Breached","OK")</f>
        <v>OK</v>
      </c>
    </row>
    <row r="34" spans="1:17" x14ac:dyDescent="0.2">
      <c r="A34" t="s">
        <v>136</v>
      </c>
      <c r="B34" s="2">
        <v>46270</v>
      </c>
      <c r="C34" t="s">
        <v>108</v>
      </c>
      <c r="D34" t="s">
        <v>137</v>
      </c>
      <c r="E34" t="s">
        <v>138</v>
      </c>
      <c r="F34" t="s">
        <v>118</v>
      </c>
      <c r="G34" t="s">
        <v>139</v>
      </c>
      <c r="H34" t="s">
        <v>140</v>
      </c>
      <c r="I34" t="s">
        <v>141</v>
      </c>
      <c r="J34" t="s">
        <v>120</v>
      </c>
      <c r="K34" t="s">
        <v>40</v>
      </c>
      <c r="L34" t="s">
        <v>32</v>
      </c>
      <c r="M34" s="2"/>
      <c r="N34" t="str">
        <f>_xlfn.XLOOKUP(tblTickets[[#This Row],[Record ID]],Suppliers!A:A,Suppliers!E:E,"Not found")</f>
        <v>Strategic and reliable</v>
      </c>
      <c r="O34">
        <f ca="1">IF(tblTickets[[#This Row],[Closed On]]="",TODAY()-tblTickets[[#This Row],[Created On]],tblTickets[[#This Row],[Closed On]]-tblTickets[[#This Row],[Created On]])</f>
        <v>30</v>
      </c>
      <c r="P34">
        <f>_xlfn.XLOOKUP(tblTickets[[#This Row],[Priority]],Lists!B:B,Lists!C:C)</f>
        <v>5</v>
      </c>
      <c r="Q34" s="4" t="str">
        <f ca="1">IF(tblTickets[[#This Row],[Age (days)]]&gt;tblTickets[[#This Row],[SLA (days)]],"Breached","OK")</f>
        <v>Breached</v>
      </c>
    </row>
    <row r="35" spans="1:17" x14ac:dyDescent="0.2">
      <c r="A35" t="s">
        <v>142</v>
      </c>
      <c r="B35" s="2">
        <v>46281</v>
      </c>
      <c r="C35" t="s">
        <v>108</v>
      </c>
      <c r="D35" t="s">
        <v>143</v>
      </c>
      <c r="E35" t="s">
        <v>144</v>
      </c>
      <c r="F35" t="s">
        <v>118</v>
      </c>
      <c r="G35" t="s">
        <v>139</v>
      </c>
      <c r="H35" t="s">
        <v>145</v>
      </c>
      <c r="I35" t="s">
        <v>141</v>
      </c>
      <c r="J35" t="s">
        <v>120</v>
      </c>
      <c r="K35" t="s">
        <v>40</v>
      </c>
      <c r="L35" t="s">
        <v>41</v>
      </c>
      <c r="M35" s="2"/>
      <c r="N35" t="str">
        <f>_xlfn.XLOOKUP(tblTickets[[#This Row],[Record ID]],Suppliers!A:A,Suppliers!E:E,"Not found")</f>
        <v>Strategic and reliable</v>
      </c>
      <c r="O35">
        <f ca="1">IF(tblTickets[[#This Row],[Closed On]]="",TODAY()-tblTickets[[#This Row],[Created On]],tblTickets[[#This Row],[Closed On]]-tblTickets[[#This Row],[Created On]])</f>
        <v>19</v>
      </c>
      <c r="P35">
        <f>_xlfn.XLOOKUP(tblTickets[[#This Row],[Priority]],Lists!B:B,Lists!C:C)</f>
        <v>5</v>
      </c>
      <c r="Q35" s="4" t="str">
        <f ca="1">IF(tblTickets[[#This Row],[Age (days)]]&gt;tblTickets[[#This Row],[SLA (days)]],"Breached","OK")</f>
        <v>Breached</v>
      </c>
    </row>
    <row r="36" spans="1:17" x14ac:dyDescent="0.2">
      <c r="A36" t="s">
        <v>146</v>
      </c>
      <c r="B36" s="2">
        <v>46289</v>
      </c>
      <c r="C36" t="s">
        <v>108</v>
      </c>
      <c r="D36" t="s">
        <v>147</v>
      </c>
      <c r="E36" t="s">
        <v>148</v>
      </c>
      <c r="F36" t="s">
        <v>124</v>
      </c>
      <c r="G36" t="s">
        <v>112</v>
      </c>
      <c r="H36" t="s">
        <v>125</v>
      </c>
      <c r="I36" t="s">
        <v>114</v>
      </c>
      <c r="J36" t="s">
        <v>120</v>
      </c>
      <c r="K36" t="s">
        <v>149</v>
      </c>
      <c r="L36" t="s">
        <v>27</v>
      </c>
      <c r="M36" s="2"/>
      <c r="N36" t="str">
        <f>_xlfn.XLOOKUP(tblTickets[[#This Row],[Record ID]],Suppliers!A:A,Suppliers!E:E,"Not found")</f>
        <v>Critical: quality and delivery</v>
      </c>
      <c r="O36">
        <f ca="1">IF(tblTickets[[#This Row],[Closed On]]="",TODAY()-tblTickets[[#This Row],[Created On]],tblTickets[[#This Row],[Closed On]]-tblTickets[[#This Row],[Created On]])</f>
        <v>11</v>
      </c>
      <c r="P36">
        <f>_xlfn.XLOOKUP(tblTickets[[#This Row],[Priority]],Lists!B:B,Lists!C:C)</f>
        <v>5</v>
      </c>
      <c r="Q36" s="4" t="str">
        <f ca="1">IF(tblTickets[[#This Row],[Age (days)]]&gt;tblTickets[[#This Row],[SLA (days)]],"Breached","OK")</f>
        <v>Breached</v>
      </c>
    </row>
    <row r="37" spans="1:17" x14ac:dyDescent="0.2">
      <c r="A37" t="s">
        <v>150</v>
      </c>
      <c r="B37" s="2">
        <v>46296</v>
      </c>
      <c r="C37" t="s">
        <v>108</v>
      </c>
      <c r="D37" t="s">
        <v>151</v>
      </c>
      <c r="E37" t="s">
        <v>152</v>
      </c>
      <c r="F37" t="s">
        <v>118</v>
      </c>
      <c r="G37" t="s">
        <v>112</v>
      </c>
      <c r="H37" t="s">
        <v>119</v>
      </c>
      <c r="I37" t="s">
        <v>114</v>
      </c>
      <c r="J37" t="s">
        <v>120</v>
      </c>
      <c r="K37" t="s">
        <v>22</v>
      </c>
      <c r="L37" t="s">
        <v>23</v>
      </c>
      <c r="M37" s="2">
        <v>46299</v>
      </c>
      <c r="N37" t="str">
        <f>_xlfn.XLOOKUP(tblTickets[[#This Row],[Record ID]],Suppliers!A:A,Suppliers!E:E,"Not found")</f>
        <v>Delivery risk</v>
      </c>
      <c r="O37">
        <f ca="1">IF(tblTickets[[#This Row],[Closed On]]="",TODAY()-tblTickets[[#This Row],[Created On]],tblTickets[[#This Row],[Closed On]]-tblTickets[[#This Row],[Created On]])</f>
        <v>3</v>
      </c>
      <c r="P37">
        <f>_xlfn.XLOOKUP(tblTickets[[#This Row],[Priority]],Lists!B:B,Lists!C:C)</f>
        <v>5</v>
      </c>
      <c r="Q37" s="4" t="str">
        <f ca="1">IF(tblTickets[[#This Row],[Age (days)]]&gt;tblTickets[[#This Row],[SLA (days)]],"Breached","OK")</f>
        <v>OK</v>
      </c>
    </row>
    <row r="38" spans="1:17" x14ac:dyDescent="0.2">
      <c r="A38" t="s">
        <v>153</v>
      </c>
      <c r="B38" s="2">
        <v>46277</v>
      </c>
      <c r="C38" t="s">
        <v>108</v>
      </c>
      <c r="D38" t="s">
        <v>154</v>
      </c>
      <c r="E38" t="s">
        <v>155</v>
      </c>
      <c r="F38" t="s">
        <v>124</v>
      </c>
      <c r="G38" t="s">
        <v>139</v>
      </c>
      <c r="H38" t="s">
        <v>156</v>
      </c>
      <c r="I38" t="s">
        <v>157</v>
      </c>
      <c r="J38" t="s">
        <v>120</v>
      </c>
      <c r="K38" t="s">
        <v>149</v>
      </c>
      <c r="L38" t="s">
        <v>41</v>
      </c>
      <c r="M38" s="2"/>
      <c r="N38" t="str">
        <f>_xlfn.XLOOKUP(tblTickets[[#This Row],[Record ID]],Suppliers!A:A,Suppliers!E:E,"Not found")</f>
        <v>Quality risk</v>
      </c>
      <c r="O38">
        <f ca="1">IF(tblTickets[[#This Row],[Closed On]]="",TODAY()-tblTickets[[#This Row],[Created On]],tblTickets[[#This Row],[Closed On]]-tblTickets[[#This Row],[Created On]])</f>
        <v>23</v>
      </c>
      <c r="P38">
        <f>_xlfn.XLOOKUP(tblTickets[[#This Row],[Priority]],Lists!B:B,Lists!C:C)</f>
        <v>5</v>
      </c>
      <c r="Q38" s="4" t="str">
        <f ca="1">IF(tblTickets[[#This Row],[Age (days)]]&gt;tblTickets[[#This Row],[SLA (days)]],"Breached","OK")</f>
        <v>Breached</v>
      </c>
    </row>
    <row r="39" spans="1:17" x14ac:dyDescent="0.2">
      <c r="A39" t="s">
        <v>158</v>
      </c>
      <c r="B39" s="2">
        <v>46280</v>
      </c>
      <c r="C39" t="s">
        <v>108</v>
      </c>
      <c r="D39" t="s">
        <v>159</v>
      </c>
      <c r="E39" t="s">
        <v>160</v>
      </c>
      <c r="F39" t="s">
        <v>118</v>
      </c>
      <c r="G39" t="s">
        <v>112</v>
      </c>
      <c r="H39" t="s">
        <v>119</v>
      </c>
      <c r="I39" t="s">
        <v>114</v>
      </c>
      <c r="J39" t="s">
        <v>120</v>
      </c>
      <c r="K39" t="s">
        <v>22</v>
      </c>
      <c r="L39" t="s">
        <v>27</v>
      </c>
      <c r="M39" s="2">
        <v>46284</v>
      </c>
      <c r="N39" t="str">
        <f>_xlfn.XLOOKUP(tblTickets[[#This Row],[Record ID]],Suppliers!A:A,Suppliers!E:E,"Not found")</f>
        <v>Reliable, lower spend</v>
      </c>
      <c r="O39">
        <f ca="1">IF(tblTickets[[#This Row],[Closed On]]="",TODAY()-tblTickets[[#This Row],[Created On]],tblTickets[[#This Row],[Closed On]]-tblTickets[[#This Row],[Created On]])</f>
        <v>4</v>
      </c>
      <c r="P39">
        <f>_xlfn.XLOOKUP(tblTickets[[#This Row],[Priority]],Lists!B:B,Lists!C:C)</f>
        <v>5</v>
      </c>
      <c r="Q39" s="4" t="str">
        <f ca="1">IF(tblTickets[[#This Row],[Age (days)]]&gt;tblTickets[[#This Row],[SLA (days)]],"Breached","OK")</f>
        <v>OK</v>
      </c>
    </row>
    <row r="40" spans="1:17" x14ac:dyDescent="0.2">
      <c r="A40" t="s">
        <v>161</v>
      </c>
      <c r="B40" s="2">
        <v>46276</v>
      </c>
      <c r="C40" t="s">
        <v>108</v>
      </c>
      <c r="D40" t="s">
        <v>162</v>
      </c>
      <c r="E40" t="s">
        <v>163</v>
      </c>
      <c r="F40" t="s">
        <v>124</v>
      </c>
      <c r="G40" t="s">
        <v>112</v>
      </c>
      <c r="H40" t="s">
        <v>125</v>
      </c>
      <c r="I40" t="s">
        <v>114</v>
      </c>
      <c r="J40" t="s">
        <v>120</v>
      </c>
      <c r="K40" t="s">
        <v>22</v>
      </c>
      <c r="L40" t="s">
        <v>27</v>
      </c>
      <c r="M40" s="2">
        <v>46285</v>
      </c>
      <c r="N40" t="str">
        <f>_xlfn.XLOOKUP(tblTickets[[#This Row],[Record ID]],Suppliers!A:A,Suppliers!E:E,"Not found")</f>
        <v>Quality risk</v>
      </c>
      <c r="O40">
        <f ca="1">IF(tblTickets[[#This Row],[Closed On]]="",TODAY()-tblTickets[[#This Row],[Created On]],tblTickets[[#This Row],[Closed On]]-tblTickets[[#This Row],[Created On]])</f>
        <v>9</v>
      </c>
      <c r="P40">
        <f>_xlfn.XLOOKUP(tblTickets[[#This Row],[Priority]],Lists!B:B,Lists!C:C)</f>
        <v>5</v>
      </c>
      <c r="Q40" s="4" t="str">
        <f ca="1">IF(tblTickets[[#This Row],[Age (days)]]&gt;tblTickets[[#This Row],[SLA (days)]],"Breached","OK")</f>
        <v>Breached</v>
      </c>
    </row>
    <row r="41" spans="1:17" x14ac:dyDescent="0.2">
      <c r="A41" t="s">
        <v>164</v>
      </c>
      <c r="B41" s="2">
        <v>46290</v>
      </c>
      <c r="C41" t="s">
        <v>108</v>
      </c>
      <c r="D41" t="s">
        <v>165</v>
      </c>
      <c r="E41" t="s">
        <v>166</v>
      </c>
      <c r="F41" t="s">
        <v>111</v>
      </c>
      <c r="G41" t="s">
        <v>112</v>
      </c>
      <c r="H41" t="s">
        <v>113</v>
      </c>
      <c r="I41" t="s">
        <v>114</v>
      </c>
      <c r="J41" t="s">
        <v>39</v>
      </c>
      <c r="K41" t="s">
        <v>22</v>
      </c>
      <c r="L41" t="s">
        <v>45</v>
      </c>
      <c r="M41" s="2">
        <v>46300</v>
      </c>
      <c r="N41" t="str">
        <f>_xlfn.XLOOKUP(tblTickets[[#This Row],[Record ID]],Suppliers!A:A,Suppliers!E:E,"Not found")</f>
        <v>Delivery risk</v>
      </c>
      <c r="O41">
        <f ca="1">IF(tblTickets[[#This Row],[Closed On]]="",TODAY()-tblTickets[[#This Row],[Created On]],tblTickets[[#This Row],[Closed On]]-tblTickets[[#This Row],[Created On]])</f>
        <v>10</v>
      </c>
      <c r="P41">
        <f>_xlfn.XLOOKUP(tblTickets[[#This Row],[Priority]],Lists!B:B,Lists!C:C)</f>
        <v>10</v>
      </c>
      <c r="Q41" s="4" t="str">
        <f ca="1">IF(tblTickets[[#This Row],[Age (days)]]&gt;tblTickets[[#This Row],[SLA (days)]],"Breached","OK")</f>
        <v>OK</v>
      </c>
    </row>
    <row r="42" spans="1:17" x14ac:dyDescent="0.2">
      <c r="A42" t="s">
        <v>167</v>
      </c>
      <c r="B42" s="2">
        <v>46292</v>
      </c>
      <c r="C42" t="s">
        <v>108</v>
      </c>
      <c r="D42" t="s">
        <v>168</v>
      </c>
      <c r="E42" t="s">
        <v>169</v>
      </c>
      <c r="F42" t="s">
        <v>118</v>
      </c>
      <c r="G42" t="s">
        <v>112</v>
      </c>
      <c r="H42" t="s">
        <v>119</v>
      </c>
      <c r="I42" t="s">
        <v>114</v>
      </c>
      <c r="J42" t="s">
        <v>120</v>
      </c>
      <c r="K42" t="s">
        <v>40</v>
      </c>
      <c r="L42" t="s">
        <v>45</v>
      </c>
      <c r="M42" s="2"/>
      <c r="N42" t="str">
        <f>_xlfn.XLOOKUP(tblTickets[[#This Row],[Record ID]],Suppliers!A:A,Suppliers!E:E,"Not found")</f>
        <v>Critical: quality and delivery</v>
      </c>
      <c r="O42">
        <f ca="1">IF(tblTickets[[#This Row],[Closed On]]="",TODAY()-tblTickets[[#This Row],[Created On]],tblTickets[[#This Row],[Closed On]]-tblTickets[[#This Row],[Created On]])</f>
        <v>8</v>
      </c>
      <c r="P42">
        <f>_xlfn.XLOOKUP(tblTickets[[#This Row],[Priority]],Lists!B:B,Lists!C:C)</f>
        <v>5</v>
      </c>
      <c r="Q42" s="4" t="str">
        <f ca="1">IF(tblTickets[[#This Row],[Age (days)]]&gt;tblTickets[[#This Row],[SLA (days)]],"Breached","OK")</f>
        <v>Breached</v>
      </c>
    </row>
    <row r="43" spans="1:17" x14ac:dyDescent="0.2">
      <c r="A43" t="s">
        <v>170</v>
      </c>
      <c r="B43" s="2">
        <v>46268</v>
      </c>
      <c r="C43" t="s">
        <v>108</v>
      </c>
      <c r="D43" t="s">
        <v>171</v>
      </c>
      <c r="E43" t="s">
        <v>172</v>
      </c>
      <c r="F43" t="s">
        <v>111</v>
      </c>
      <c r="G43" t="s">
        <v>112</v>
      </c>
      <c r="H43" t="s">
        <v>113</v>
      </c>
      <c r="I43" t="s">
        <v>114</v>
      </c>
      <c r="J43" t="s">
        <v>39</v>
      </c>
      <c r="K43" t="s">
        <v>31</v>
      </c>
      <c r="L43" t="s">
        <v>41</v>
      </c>
      <c r="M43" s="2"/>
      <c r="N43" t="str">
        <f>_xlfn.XLOOKUP(tblTickets[[#This Row],[Record ID]],Suppliers!A:A,Suppliers!E:E,"Not found")</f>
        <v>Reliable, lower spend</v>
      </c>
      <c r="O43">
        <f ca="1">IF(tblTickets[[#This Row],[Closed On]]="",TODAY()-tblTickets[[#This Row],[Created On]],tblTickets[[#This Row],[Closed On]]-tblTickets[[#This Row],[Created On]])</f>
        <v>32</v>
      </c>
      <c r="P43">
        <f>_xlfn.XLOOKUP(tblTickets[[#This Row],[Priority]],Lists!B:B,Lists!C:C)</f>
        <v>10</v>
      </c>
      <c r="Q43" s="4" t="str">
        <f ca="1">IF(tblTickets[[#This Row],[Age (days)]]&gt;tblTickets[[#This Row],[SLA (days)]],"Breached","OK")</f>
        <v>Breached</v>
      </c>
    </row>
    <row r="44" spans="1:17" x14ac:dyDescent="0.2">
      <c r="A44" t="s">
        <v>173</v>
      </c>
      <c r="B44" s="2">
        <v>46281</v>
      </c>
      <c r="C44" t="s">
        <v>108</v>
      </c>
      <c r="D44" t="s">
        <v>174</v>
      </c>
      <c r="E44" t="s">
        <v>175</v>
      </c>
      <c r="F44" t="s">
        <v>118</v>
      </c>
      <c r="G44" t="s">
        <v>139</v>
      </c>
      <c r="H44" t="s">
        <v>140</v>
      </c>
      <c r="I44" t="s">
        <v>141</v>
      </c>
      <c r="J44" t="s">
        <v>120</v>
      </c>
      <c r="K44" t="s">
        <v>22</v>
      </c>
      <c r="L44" t="s">
        <v>41</v>
      </c>
      <c r="M44" s="2">
        <v>46288</v>
      </c>
      <c r="N44" t="str">
        <f>_xlfn.XLOOKUP(tblTickets[[#This Row],[Record ID]],Suppliers!A:A,Suppliers!E:E,"Not found")</f>
        <v>Delivery risk</v>
      </c>
      <c r="O44">
        <f ca="1">IF(tblTickets[[#This Row],[Closed On]]="",TODAY()-tblTickets[[#This Row],[Created On]],tblTickets[[#This Row],[Closed On]]-tblTickets[[#This Row],[Created On]])</f>
        <v>7</v>
      </c>
      <c r="P44">
        <f>_xlfn.XLOOKUP(tblTickets[[#This Row],[Priority]],Lists!B:B,Lists!C:C)</f>
        <v>5</v>
      </c>
      <c r="Q44" s="4" t="str">
        <f ca="1">IF(tblTickets[[#This Row],[Age (days)]]&gt;tblTickets[[#This Row],[SLA (days)]],"Breached","OK")</f>
        <v>Breached</v>
      </c>
    </row>
    <row r="45" spans="1:17" x14ac:dyDescent="0.2">
      <c r="A45" t="s">
        <v>176</v>
      </c>
      <c r="B45" s="2">
        <v>46292</v>
      </c>
      <c r="C45" t="s">
        <v>108</v>
      </c>
      <c r="D45" t="s">
        <v>177</v>
      </c>
      <c r="E45" t="s">
        <v>178</v>
      </c>
      <c r="F45" t="s">
        <v>124</v>
      </c>
      <c r="G45" t="s">
        <v>139</v>
      </c>
      <c r="H45" t="s">
        <v>156</v>
      </c>
      <c r="I45" t="s">
        <v>157</v>
      </c>
      <c r="J45" t="s">
        <v>120</v>
      </c>
      <c r="K45" t="s">
        <v>22</v>
      </c>
      <c r="L45" t="s">
        <v>23</v>
      </c>
      <c r="M45" s="2">
        <v>46300</v>
      </c>
      <c r="N45" t="str">
        <f>_xlfn.XLOOKUP(tblTickets[[#This Row],[Record ID]],Suppliers!A:A,Suppliers!E:E,"Not found")</f>
        <v>Reliable, lower spend</v>
      </c>
      <c r="O45">
        <f ca="1">IF(tblTickets[[#This Row],[Closed On]]="",TODAY()-tblTickets[[#This Row],[Created On]],tblTickets[[#This Row],[Closed On]]-tblTickets[[#This Row],[Created On]])</f>
        <v>8</v>
      </c>
      <c r="P45">
        <f>_xlfn.XLOOKUP(tblTickets[[#This Row],[Priority]],Lists!B:B,Lists!C:C)</f>
        <v>5</v>
      </c>
      <c r="Q45" s="4" t="str">
        <f ca="1">IF(tblTickets[[#This Row],[Age (days)]]&gt;tblTickets[[#This Row],[SLA (days)]],"Breached","OK")</f>
        <v>Breached</v>
      </c>
    </row>
    <row r="46" spans="1:17" x14ac:dyDescent="0.2">
      <c r="A46" t="s">
        <v>179</v>
      </c>
      <c r="B46" s="2">
        <v>46284</v>
      </c>
      <c r="C46" t="s">
        <v>108</v>
      </c>
      <c r="D46" t="s">
        <v>180</v>
      </c>
      <c r="E46" t="s">
        <v>181</v>
      </c>
      <c r="F46" t="s">
        <v>118</v>
      </c>
      <c r="G46" t="s">
        <v>139</v>
      </c>
      <c r="H46" t="s">
        <v>182</v>
      </c>
      <c r="I46" t="s">
        <v>141</v>
      </c>
      <c r="J46" t="s">
        <v>120</v>
      </c>
      <c r="K46" t="s">
        <v>31</v>
      </c>
      <c r="L46" t="s">
        <v>45</v>
      </c>
      <c r="M46" s="2"/>
      <c r="N46" t="str">
        <f>_xlfn.XLOOKUP(tblTickets[[#This Row],[Record ID]],Suppliers!A:A,Suppliers!E:E,"Not found")</f>
        <v>Quality risk</v>
      </c>
      <c r="O46">
        <f ca="1">IF(tblTickets[[#This Row],[Closed On]]="",TODAY()-tblTickets[[#This Row],[Created On]],tblTickets[[#This Row],[Closed On]]-tblTickets[[#This Row],[Created On]])</f>
        <v>16</v>
      </c>
      <c r="P46">
        <f>_xlfn.XLOOKUP(tblTickets[[#This Row],[Priority]],Lists!B:B,Lists!C:C)</f>
        <v>5</v>
      </c>
      <c r="Q46" s="4" t="str">
        <f ca="1">IF(tblTickets[[#This Row],[Age (days)]]&gt;tblTickets[[#This Row],[SLA (days)]],"Breached","OK")</f>
        <v>Breached</v>
      </c>
    </row>
    <row r="47" spans="1:17" x14ac:dyDescent="0.2">
      <c r="A47" t="s">
        <v>183</v>
      </c>
      <c r="B47" s="2">
        <v>46274</v>
      </c>
      <c r="C47" t="s">
        <v>108</v>
      </c>
      <c r="D47" t="s">
        <v>184</v>
      </c>
      <c r="E47" t="s">
        <v>185</v>
      </c>
      <c r="F47" t="s">
        <v>118</v>
      </c>
      <c r="G47" t="s">
        <v>112</v>
      </c>
      <c r="H47" t="s">
        <v>119</v>
      </c>
      <c r="I47" t="s">
        <v>114</v>
      </c>
      <c r="J47" t="s">
        <v>120</v>
      </c>
      <c r="K47" t="s">
        <v>40</v>
      </c>
      <c r="L47" t="s">
        <v>32</v>
      </c>
      <c r="M47" s="2"/>
      <c r="N47" t="str">
        <f>_xlfn.XLOOKUP(tblTickets[[#This Row],[Record ID]],Suppliers!A:A,Suppliers!E:E,"Not found")</f>
        <v>Delivery risk</v>
      </c>
      <c r="O47">
        <f ca="1">IF(tblTickets[[#This Row],[Closed On]]="",TODAY()-tblTickets[[#This Row],[Created On]],tblTickets[[#This Row],[Closed On]]-tblTickets[[#This Row],[Created On]])</f>
        <v>26</v>
      </c>
      <c r="P47">
        <f>_xlfn.XLOOKUP(tblTickets[[#This Row],[Priority]],Lists!B:B,Lists!C:C)</f>
        <v>5</v>
      </c>
      <c r="Q47" s="4" t="str">
        <f ca="1">IF(tblTickets[[#This Row],[Age (days)]]&gt;tblTickets[[#This Row],[SLA (days)]],"Breached","OK")</f>
        <v>Breached</v>
      </c>
    </row>
    <row r="48" spans="1:17" x14ac:dyDescent="0.2">
      <c r="A48" t="s">
        <v>186</v>
      </c>
      <c r="B48" s="2">
        <v>46270</v>
      </c>
      <c r="C48" t="s">
        <v>14</v>
      </c>
      <c r="D48" t="s">
        <v>187</v>
      </c>
      <c r="E48" t="s">
        <v>188</v>
      </c>
      <c r="F48" t="s">
        <v>118</v>
      </c>
      <c r="G48" t="s">
        <v>112</v>
      </c>
      <c r="H48" t="s">
        <v>119</v>
      </c>
      <c r="I48" t="s">
        <v>114</v>
      </c>
      <c r="J48" t="s">
        <v>120</v>
      </c>
      <c r="K48" t="s">
        <v>31</v>
      </c>
      <c r="L48" t="s">
        <v>27</v>
      </c>
      <c r="M48" s="2"/>
      <c r="N48" t="str">
        <f>_xlfn.XLOOKUP(tblTickets[[#This Row],[Record ID]],Suppliers!A:A,Suppliers!E:E,"Not found")</f>
        <v>Delivery risk</v>
      </c>
      <c r="O48">
        <f ca="1">IF(tblTickets[[#This Row],[Closed On]]="",TODAY()-tblTickets[[#This Row],[Created On]],tblTickets[[#This Row],[Closed On]]-tblTickets[[#This Row],[Created On]])</f>
        <v>30</v>
      </c>
      <c r="P48">
        <f>_xlfn.XLOOKUP(tblTickets[[#This Row],[Priority]],Lists!B:B,Lists!C:C)</f>
        <v>5</v>
      </c>
      <c r="Q48" s="4" t="str">
        <f ca="1">IF(tblTickets[[#This Row],[Age (days)]]&gt;tblTickets[[#This Row],[SLA (days)]],"Breached","OK")</f>
        <v>Breached</v>
      </c>
    </row>
    <row r="49" spans="1:17" x14ac:dyDescent="0.2">
      <c r="A49" t="s">
        <v>189</v>
      </c>
      <c r="B49" s="2">
        <v>46267</v>
      </c>
      <c r="C49" t="s">
        <v>14</v>
      </c>
      <c r="D49" t="s">
        <v>34</v>
      </c>
      <c r="E49" t="s">
        <v>35</v>
      </c>
      <c r="F49" t="s">
        <v>118</v>
      </c>
      <c r="G49" t="s">
        <v>112</v>
      </c>
      <c r="H49" t="s">
        <v>119</v>
      </c>
      <c r="I49" t="s">
        <v>114</v>
      </c>
      <c r="J49" t="s">
        <v>120</v>
      </c>
      <c r="K49" t="s">
        <v>40</v>
      </c>
      <c r="L49" t="s">
        <v>23</v>
      </c>
      <c r="M49" s="2"/>
      <c r="N49" t="str">
        <f>_xlfn.XLOOKUP(tblTickets[[#This Row],[Record ID]],Suppliers!A:A,Suppliers!E:E,"Not found")</f>
        <v>Critical: quality and delivery</v>
      </c>
      <c r="O49">
        <f ca="1">IF(tblTickets[[#This Row],[Closed On]]="",TODAY()-tblTickets[[#This Row],[Created On]],tblTickets[[#This Row],[Closed On]]-tblTickets[[#This Row],[Created On]])</f>
        <v>33</v>
      </c>
      <c r="P49">
        <f>_xlfn.XLOOKUP(tblTickets[[#This Row],[Priority]],Lists!B:B,Lists!C:C)</f>
        <v>5</v>
      </c>
      <c r="Q49" s="4" t="str">
        <f ca="1">IF(tblTickets[[#This Row],[Age (days)]]&gt;tblTickets[[#This Row],[SLA (days)]],"Breached","OK")</f>
        <v>Breached</v>
      </c>
    </row>
    <row r="50" spans="1:17" x14ac:dyDescent="0.2">
      <c r="A50" t="s">
        <v>190</v>
      </c>
      <c r="B50" s="2">
        <v>46294</v>
      </c>
      <c r="C50" t="s">
        <v>14</v>
      </c>
      <c r="D50" t="s">
        <v>191</v>
      </c>
      <c r="E50" t="s">
        <v>192</v>
      </c>
      <c r="F50" t="s">
        <v>193</v>
      </c>
      <c r="G50" t="s">
        <v>112</v>
      </c>
      <c r="H50" t="s">
        <v>194</v>
      </c>
      <c r="I50" t="s">
        <v>114</v>
      </c>
      <c r="J50" t="s">
        <v>39</v>
      </c>
      <c r="K50" t="s">
        <v>40</v>
      </c>
      <c r="L50" t="s">
        <v>45</v>
      </c>
      <c r="M50" s="2"/>
      <c r="N50" t="str">
        <f>_xlfn.XLOOKUP(tblTickets[[#This Row],[Record ID]],Suppliers!A:A,Suppliers!E:E,"Not found")</f>
        <v>Critical: quality and delivery</v>
      </c>
      <c r="O50">
        <f ca="1">IF(tblTickets[[#This Row],[Closed On]]="",TODAY()-tblTickets[[#This Row],[Created On]],tblTickets[[#This Row],[Closed On]]-tblTickets[[#This Row],[Created On]])</f>
        <v>6</v>
      </c>
      <c r="P50">
        <f>_xlfn.XLOOKUP(tblTickets[[#This Row],[Priority]],Lists!B:B,Lists!C:C)</f>
        <v>10</v>
      </c>
      <c r="Q50" s="4" t="str">
        <f ca="1">IF(tblTickets[[#This Row],[Age (days)]]&gt;tblTickets[[#This Row],[SLA (days)]],"Breached","OK")</f>
        <v>OK</v>
      </c>
    </row>
    <row r="51" spans="1:17" x14ac:dyDescent="0.2">
      <c r="A51" t="s">
        <v>195</v>
      </c>
      <c r="B51" s="2">
        <v>46277</v>
      </c>
      <c r="C51" t="s">
        <v>14</v>
      </c>
      <c r="D51" t="s">
        <v>196</v>
      </c>
      <c r="E51" t="s">
        <v>197</v>
      </c>
      <c r="F51" t="s">
        <v>118</v>
      </c>
      <c r="G51" t="s">
        <v>112</v>
      </c>
      <c r="H51" t="s">
        <v>119</v>
      </c>
      <c r="I51" t="s">
        <v>114</v>
      </c>
      <c r="J51" t="s">
        <v>120</v>
      </c>
      <c r="K51" t="s">
        <v>31</v>
      </c>
      <c r="L51" t="s">
        <v>32</v>
      </c>
      <c r="M51" s="2"/>
      <c r="N51" t="str">
        <f>_xlfn.XLOOKUP(tblTickets[[#This Row],[Record ID]],Suppliers!A:A,Suppliers!E:E,"Not found")</f>
        <v>Strategic and reliable</v>
      </c>
      <c r="O51">
        <f ca="1">IF(tblTickets[[#This Row],[Closed On]]="",TODAY()-tblTickets[[#This Row],[Created On]],tblTickets[[#This Row],[Closed On]]-tblTickets[[#This Row],[Created On]])</f>
        <v>23</v>
      </c>
      <c r="P51">
        <f>_xlfn.XLOOKUP(tblTickets[[#This Row],[Priority]],Lists!B:B,Lists!C:C)</f>
        <v>5</v>
      </c>
      <c r="Q51" s="4" t="str">
        <f ca="1">IF(tblTickets[[#This Row],[Age (days)]]&gt;tblTickets[[#This Row],[SLA (days)]],"Breached","OK")</f>
        <v>Breached</v>
      </c>
    </row>
    <row r="52" spans="1:17" x14ac:dyDescent="0.2">
      <c r="A52" t="s">
        <v>198</v>
      </c>
      <c r="B52" s="2">
        <v>46274</v>
      </c>
      <c r="C52" t="s">
        <v>14</v>
      </c>
      <c r="D52" t="s">
        <v>196</v>
      </c>
      <c r="E52" t="s">
        <v>197</v>
      </c>
      <c r="F52" t="s">
        <v>193</v>
      </c>
      <c r="G52" t="s">
        <v>139</v>
      </c>
      <c r="H52" t="s">
        <v>199</v>
      </c>
      <c r="I52" t="s">
        <v>200</v>
      </c>
      <c r="J52" t="s">
        <v>39</v>
      </c>
      <c r="K52" t="s">
        <v>40</v>
      </c>
      <c r="L52" t="s">
        <v>27</v>
      </c>
      <c r="M52" s="2"/>
      <c r="N52" t="str">
        <f>_xlfn.XLOOKUP(tblTickets[[#This Row],[Record ID]],Suppliers!A:A,Suppliers!E:E,"Not found")</f>
        <v>Strategic and reliable</v>
      </c>
      <c r="O52">
        <f ca="1">IF(tblTickets[[#This Row],[Closed On]]="",TODAY()-tblTickets[[#This Row],[Created On]],tblTickets[[#This Row],[Closed On]]-tblTickets[[#This Row],[Created On]])</f>
        <v>26</v>
      </c>
      <c r="P52">
        <f>_xlfn.XLOOKUP(tblTickets[[#This Row],[Priority]],Lists!B:B,Lists!C:C)</f>
        <v>10</v>
      </c>
      <c r="Q52" s="4" t="str">
        <f ca="1">IF(tblTickets[[#This Row],[Age (days)]]&gt;tblTickets[[#This Row],[SLA (days)]],"Breached","OK")</f>
        <v>Breached</v>
      </c>
    </row>
    <row r="53" spans="1:17" x14ac:dyDescent="0.2">
      <c r="A53" t="s">
        <v>201</v>
      </c>
      <c r="B53" s="2">
        <v>46294</v>
      </c>
      <c r="C53" t="s">
        <v>14</v>
      </c>
      <c r="D53" t="s">
        <v>202</v>
      </c>
      <c r="E53" t="s">
        <v>203</v>
      </c>
      <c r="F53" t="s">
        <v>193</v>
      </c>
      <c r="G53" t="s">
        <v>112</v>
      </c>
      <c r="H53" t="s">
        <v>194</v>
      </c>
      <c r="I53" t="s">
        <v>114</v>
      </c>
      <c r="J53" t="s">
        <v>39</v>
      </c>
      <c r="K53" t="s">
        <v>22</v>
      </c>
      <c r="L53" t="s">
        <v>32</v>
      </c>
      <c r="M53" s="2">
        <v>46300</v>
      </c>
      <c r="N53" t="str">
        <f>_xlfn.XLOOKUP(tblTickets[[#This Row],[Record ID]],Suppliers!A:A,Suppliers!E:E,"Not found")</f>
        <v>Quality risk</v>
      </c>
      <c r="O53">
        <f ca="1">IF(tblTickets[[#This Row],[Closed On]]="",TODAY()-tblTickets[[#This Row],[Created On]],tblTickets[[#This Row],[Closed On]]-tblTickets[[#This Row],[Created On]])</f>
        <v>6</v>
      </c>
      <c r="P53">
        <f>_xlfn.XLOOKUP(tblTickets[[#This Row],[Priority]],Lists!B:B,Lists!C:C)</f>
        <v>10</v>
      </c>
      <c r="Q53" s="4" t="str">
        <f ca="1">IF(tblTickets[[#This Row],[Age (days)]]&gt;tblTickets[[#This Row],[SLA (days)]],"Breached","OK")</f>
        <v>OK</v>
      </c>
    </row>
    <row r="54" spans="1:17" x14ac:dyDescent="0.2">
      <c r="A54" t="s">
        <v>204</v>
      </c>
      <c r="B54" s="2">
        <v>46274</v>
      </c>
      <c r="C54" t="s">
        <v>14</v>
      </c>
      <c r="D54" t="s">
        <v>205</v>
      </c>
      <c r="E54" t="s">
        <v>206</v>
      </c>
      <c r="F54" t="s">
        <v>118</v>
      </c>
      <c r="G54" t="s">
        <v>112</v>
      </c>
      <c r="H54" t="s">
        <v>119</v>
      </c>
      <c r="I54" t="s">
        <v>114</v>
      </c>
      <c r="J54" t="s">
        <v>120</v>
      </c>
      <c r="K54" t="s">
        <v>149</v>
      </c>
      <c r="L54" t="s">
        <v>45</v>
      </c>
      <c r="M54" s="2"/>
      <c r="N54" t="str">
        <f>_xlfn.XLOOKUP(tblTickets[[#This Row],[Record ID]],Suppliers!A:A,Suppliers!E:E,"Not found")</f>
        <v>Reliable, lower spend</v>
      </c>
      <c r="O54">
        <f ca="1">IF(tblTickets[[#This Row],[Closed On]]="",TODAY()-tblTickets[[#This Row],[Created On]],tblTickets[[#This Row],[Closed On]]-tblTickets[[#This Row],[Created On]])</f>
        <v>26</v>
      </c>
      <c r="P54">
        <f>_xlfn.XLOOKUP(tblTickets[[#This Row],[Priority]],Lists!B:B,Lists!C:C)</f>
        <v>5</v>
      </c>
      <c r="Q54" s="4" t="str">
        <f ca="1">IF(tblTickets[[#This Row],[Age (days)]]&gt;tblTickets[[#This Row],[SLA (days)]],"Breached","OK")</f>
        <v>Breached</v>
      </c>
    </row>
    <row r="55" spans="1:17" x14ac:dyDescent="0.2">
      <c r="A55" t="s">
        <v>207</v>
      </c>
      <c r="B55" s="2">
        <v>46296</v>
      </c>
      <c r="C55" t="s">
        <v>14</v>
      </c>
      <c r="D55" t="s">
        <v>208</v>
      </c>
      <c r="E55" t="s">
        <v>209</v>
      </c>
      <c r="F55" t="s">
        <v>193</v>
      </c>
      <c r="G55" t="s">
        <v>139</v>
      </c>
      <c r="H55" t="s">
        <v>210</v>
      </c>
      <c r="I55" t="s">
        <v>200</v>
      </c>
      <c r="J55" t="s">
        <v>39</v>
      </c>
      <c r="K55" t="s">
        <v>22</v>
      </c>
      <c r="L55" t="s">
        <v>45</v>
      </c>
      <c r="M55" s="2">
        <v>46300</v>
      </c>
      <c r="N55" t="str">
        <f>_xlfn.XLOOKUP(tblTickets[[#This Row],[Record ID]],Suppliers!A:A,Suppliers!E:E,"Not found")</f>
        <v>Strategic and reliable</v>
      </c>
      <c r="O55">
        <f ca="1">IF(tblTickets[[#This Row],[Closed On]]="",TODAY()-tblTickets[[#This Row],[Created On]],tblTickets[[#This Row],[Closed On]]-tblTickets[[#This Row],[Created On]])</f>
        <v>4</v>
      </c>
      <c r="P55">
        <f>_xlfn.XLOOKUP(tblTickets[[#This Row],[Priority]],Lists!B:B,Lists!C:C)</f>
        <v>10</v>
      </c>
      <c r="Q55" s="4" t="str">
        <f ca="1">IF(tblTickets[[#This Row],[Age (days)]]&gt;tblTickets[[#This Row],[SLA (days)]],"Breached","OK")</f>
        <v>OK</v>
      </c>
    </row>
    <row r="56" spans="1:17" x14ac:dyDescent="0.2">
      <c r="A56" t="s">
        <v>211</v>
      </c>
      <c r="B56" s="2">
        <v>46267</v>
      </c>
      <c r="C56" t="s">
        <v>14</v>
      </c>
      <c r="D56" t="s">
        <v>68</v>
      </c>
      <c r="E56" t="s">
        <v>69</v>
      </c>
      <c r="F56" t="s">
        <v>193</v>
      </c>
      <c r="G56" t="s">
        <v>112</v>
      </c>
      <c r="H56" t="s">
        <v>194</v>
      </c>
      <c r="I56" t="s">
        <v>114</v>
      </c>
      <c r="J56" t="s">
        <v>39</v>
      </c>
      <c r="K56" t="s">
        <v>149</v>
      </c>
      <c r="L56" t="s">
        <v>45</v>
      </c>
      <c r="M56" s="2"/>
      <c r="N56" t="str">
        <f>_xlfn.XLOOKUP(tblTickets[[#This Row],[Record ID]],Suppliers!A:A,Suppliers!E:E,"Not found")</f>
        <v>Reliable, lower spend</v>
      </c>
      <c r="O56">
        <f ca="1">IF(tblTickets[[#This Row],[Closed On]]="",TODAY()-tblTickets[[#This Row],[Created On]],tblTickets[[#This Row],[Closed On]]-tblTickets[[#This Row],[Created On]])</f>
        <v>33</v>
      </c>
      <c r="P56">
        <f>_xlfn.XLOOKUP(tblTickets[[#This Row],[Priority]],Lists!B:B,Lists!C:C)</f>
        <v>10</v>
      </c>
      <c r="Q56" s="4" t="str">
        <f ca="1">IF(tblTickets[[#This Row],[Age (days)]]&gt;tblTickets[[#This Row],[SLA (days)]],"Breached","OK")</f>
        <v>Breached</v>
      </c>
    </row>
    <row r="57" spans="1:17" x14ac:dyDescent="0.2">
      <c r="A57" t="s">
        <v>212</v>
      </c>
      <c r="B57" s="2">
        <v>46296</v>
      </c>
      <c r="C57" t="s">
        <v>14</v>
      </c>
      <c r="D57" t="s">
        <v>213</v>
      </c>
      <c r="E57" t="s">
        <v>214</v>
      </c>
      <c r="F57" t="s">
        <v>118</v>
      </c>
      <c r="G57" t="s">
        <v>112</v>
      </c>
      <c r="H57" t="s">
        <v>119</v>
      </c>
      <c r="I57" t="s">
        <v>114</v>
      </c>
      <c r="J57" t="s">
        <v>120</v>
      </c>
      <c r="K57" t="s">
        <v>40</v>
      </c>
      <c r="L57" t="s">
        <v>41</v>
      </c>
      <c r="M57" s="2"/>
      <c r="N57" t="str">
        <f>_xlfn.XLOOKUP(tblTickets[[#This Row],[Record ID]],Suppliers!A:A,Suppliers!E:E,"Not found")</f>
        <v>Quality risk</v>
      </c>
      <c r="O57">
        <f ca="1">IF(tblTickets[[#This Row],[Closed On]]="",TODAY()-tblTickets[[#This Row],[Created On]],tblTickets[[#This Row],[Closed On]]-tblTickets[[#This Row],[Created On]])</f>
        <v>4</v>
      </c>
      <c r="P57">
        <f>_xlfn.XLOOKUP(tblTickets[[#This Row],[Priority]],Lists!B:B,Lists!C:C)</f>
        <v>5</v>
      </c>
      <c r="Q57" s="4" t="str">
        <f ca="1">IF(tblTickets[[#This Row],[Age (days)]]&gt;tblTickets[[#This Row],[SLA (days)]],"Breached","OK")</f>
        <v>OK</v>
      </c>
    </row>
    <row r="58" spans="1:17" x14ac:dyDescent="0.2">
      <c r="A58" t="s">
        <v>215</v>
      </c>
      <c r="B58" s="2">
        <v>46286</v>
      </c>
      <c r="C58" t="s">
        <v>108</v>
      </c>
      <c r="D58" t="s">
        <v>216</v>
      </c>
      <c r="E58" t="s">
        <v>217</v>
      </c>
      <c r="F58" t="s">
        <v>218</v>
      </c>
      <c r="G58" t="s">
        <v>219</v>
      </c>
      <c r="H58" t="s">
        <v>220</v>
      </c>
      <c r="I58" t="s">
        <v>221</v>
      </c>
      <c r="J58" t="s">
        <v>120</v>
      </c>
      <c r="K58" t="s">
        <v>40</v>
      </c>
      <c r="L58" t="s">
        <v>45</v>
      </c>
      <c r="M58" s="2"/>
      <c r="N58" t="str">
        <f>_xlfn.XLOOKUP(tblTickets[[#This Row],[Record ID]],Suppliers!A:A,Suppliers!E:E,"Not found")</f>
        <v>Critical: quality and delivery</v>
      </c>
      <c r="O58">
        <f ca="1">IF(tblTickets[[#This Row],[Closed On]]="",TODAY()-tblTickets[[#This Row],[Created On]],tblTickets[[#This Row],[Closed On]]-tblTickets[[#This Row],[Created On]])</f>
        <v>14</v>
      </c>
      <c r="P58">
        <f>_xlfn.XLOOKUP(tblTickets[[#This Row],[Priority]],Lists!B:B,Lists!C:C)</f>
        <v>5</v>
      </c>
      <c r="Q58" s="4" t="str">
        <f ca="1">IF(tblTickets[[#This Row],[Age (days)]]&gt;tblTickets[[#This Row],[SLA (days)]],"Breached","OK")</f>
        <v>Breached</v>
      </c>
    </row>
    <row r="59" spans="1:17" x14ac:dyDescent="0.2">
      <c r="A59" t="s">
        <v>222</v>
      </c>
      <c r="B59" s="2">
        <v>46270</v>
      </c>
      <c r="C59" t="s">
        <v>108</v>
      </c>
      <c r="D59" t="s">
        <v>223</v>
      </c>
      <c r="E59" t="s">
        <v>224</v>
      </c>
      <c r="F59" t="s">
        <v>218</v>
      </c>
      <c r="G59" t="s">
        <v>219</v>
      </c>
      <c r="H59" t="s">
        <v>225</v>
      </c>
      <c r="I59" t="s">
        <v>221</v>
      </c>
      <c r="J59" t="s">
        <v>120</v>
      </c>
      <c r="K59" t="s">
        <v>31</v>
      </c>
      <c r="L59" t="s">
        <v>41</v>
      </c>
      <c r="M59" s="2"/>
      <c r="N59" t="str">
        <f>_xlfn.XLOOKUP(tblTickets[[#This Row],[Record ID]],Suppliers!A:A,Suppliers!E:E,"Not found")</f>
        <v>Strategic and reliable</v>
      </c>
      <c r="O59">
        <f ca="1">IF(tblTickets[[#This Row],[Closed On]]="",TODAY()-tblTickets[[#This Row],[Created On]],tblTickets[[#This Row],[Closed On]]-tblTickets[[#This Row],[Created On]])</f>
        <v>30</v>
      </c>
      <c r="P59">
        <f>_xlfn.XLOOKUP(tblTickets[[#This Row],[Priority]],Lists!B:B,Lists!C:C)</f>
        <v>5</v>
      </c>
      <c r="Q59" s="4" t="str">
        <f ca="1">IF(tblTickets[[#This Row],[Age (days)]]&gt;tblTickets[[#This Row],[SLA (days)]],"Breached","OK")</f>
        <v>Breached</v>
      </c>
    </row>
    <row r="60" spans="1:17" x14ac:dyDescent="0.2">
      <c r="A60" t="s">
        <v>226</v>
      </c>
      <c r="B60" s="2">
        <v>46268</v>
      </c>
      <c r="C60" t="s">
        <v>108</v>
      </c>
      <c r="D60" t="s">
        <v>227</v>
      </c>
      <c r="E60" t="s">
        <v>228</v>
      </c>
      <c r="F60" t="s">
        <v>218</v>
      </c>
      <c r="G60" t="s">
        <v>219</v>
      </c>
      <c r="H60" t="s">
        <v>229</v>
      </c>
      <c r="I60" t="s">
        <v>221</v>
      </c>
      <c r="J60" t="s">
        <v>120</v>
      </c>
      <c r="K60" t="s">
        <v>22</v>
      </c>
      <c r="L60" t="s">
        <v>41</v>
      </c>
      <c r="M60" s="2">
        <v>46271</v>
      </c>
      <c r="N60" t="str">
        <f>_xlfn.XLOOKUP(tblTickets[[#This Row],[Record ID]],Suppliers!A:A,Suppliers!E:E,"Not found")</f>
        <v>Reliable, lower spend</v>
      </c>
      <c r="O60">
        <f ca="1">IF(tblTickets[[#This Row],[Closed On]]="",TODAY()-tblTickets[[#This Row],[Created On]],tblTickets[[#This Row],[Closed On]]-tblTickets[[#This Row],[Created On]])</f>
        <v>3</v>
      </c>
      <c r="P60">
        <f>_xlfn.XLOOKUP(tblTickets[[#This Row],[Priority]],Lists!B:B,Lists!C:C)</f>
        <v>5</v>
      </c>
      <c r="Q60" s="4" t="str">
        <f ca="1">IF(tblTickets[[#This Row],[Age (days)]]&gt;tblTickets[[#This Row],[SLA (days)]],"Breached","OK")</f>
        <v>OK</v>
      </c>
    </row>
    <row r="61" spans="1:17" x14ac:dyDescent="0.2">
      <c r="A61" t="s">
        <v>230</v>
      </c>
      <c r="B61" s="2">
        <v>46288</v>
      </c>
      <c r="C61" t="s">
        <v>108</v>
      </c>
      <c r="D61" t="s">
        <v>231</v>
      </c>
      <c r="E61" t="s">
        <v>232</v>
      </c>
      <c r="F61" t="s">
        <v>218</v>
      </c>
      <c r="G61" t="s">
        <v>219</v>
      </c>
      <c r="H61" t="s">
        <v>233</v>
      </c>
      <c r="I61" t="s">
        <v>221</v>
      </c>
      <c r="J61" t="s">
        <v>120</v>
      </c>
      <c r="K61" t="s">
        <v>40</v>
      </c>
      <c r="L61" t="s">
        <v>23</v>
      </c>
      <c r="M61" s="2"/>
      <c r="N61" t="str">
        <f>_xlfn.XLOOKUP(tblTickets[[#This Row],[Record ID]],Suppliers!A:A,Suppliers!E:E,"Not found")</f>
        <v>Delivery risk</v>
      </c>
      <c r="O61">
        <f ca="1">IF(tblTickets[[#This Row],[Closed On]]="",TODAY()-tblTickets[[#This Row],[Created On]],tblTickets[[#This Row],[Closed On]]-tblTickets[[#This Row],[Created On]])</f>
        <v>12</v>
      </c>
      <c r="P61">
        <f>_xlfn.XLOOKUP(tblTickets[[#This Row],[Priority]],Lists!B:B,Lists!C:C)</f>
        <v>5</v>
      </c>
      <c r="Q61" s="4" t="str">
        <f ca="1">IF(tblTickets[[#This Row],[Age (days)]]&gt;tblTickets[[#This Row],[SLA (days)]],"Breached","OK")</f>
        <v>Breached</v>
      </c>
    </row>
  </sheetData>
  <conditionalFormatting sqref="Q2:Q61">
    <cfRule type="containsText" dxfId="2" priority="2" operator="containsText" text="Breached">
      <formula>NOT(ISERROR(SEARCH("Breached",Q2)))</formula>
    </cfRule>
    <cfRule type="containsText" dxfId="1" priority="1" operator="containsText" text="Breached">
      <formula>NOT(ISERROR(SEARCH("Breached",Q2)))</formula>
    </cfRule>
  </conditionalFormatting>
  <dataValidations count="2">
    <dataValidation type="list" allowBlank="1" showInputMessage="1" showErrorMessage="1" sqref="J2:J61" xr:uid="{1600F5D8-DEFE-FF4B-8562-B698D15E1FD4}">
      <formula1>lstPriority</formula1>
    </dataValidation>
    <dataValidation type="list" allowBlank="1" showInputMessage="1" showErrorMessage="1" sqref="K2:K61" xr:uid="{426E204B-DEE8-544E-A485-F57F7D235EF0}">
      <formula1>lstStatus</formula1>
    </dataValidation>
  </dataValidation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401B4-D906-1C43-878F-E6A45225E5F5}">
  <dimension ref="A1:C5"/>
  <sheetViews>
    <sheetView workbookViewId="0">
      <selection activeCell="E8" sqref="E8"/>
    </sheetView>
  </sheetViews>
  <sheetFormatPr baseColWidth="10" defaultRowHeight="15" x14ac:dyDescent="0.2"/>
  <sheetData>
    <row r="1" spans="1:3" x14ac:dyDescent="0.2">
      <c r="A1" t="s">
        <v>10</v>
      </c>
      <c r="B1" t="s">
        <v>9</v>
      </c>
      <c r="C1" t="s">
        <v>558</v>
      </c>
    </row>
    <row r="2" spans="1:3" x14ac:dyDescent="0.2">
      <c r="A2" t="s">
        <v>40</v>
      </c>
      <c r="B2" t="s">
        <v>120</v>
      </c>
      <c r="C2">
        <v>5</v>
      </c>
    </row>
    <row r="3" spans="1:3" x14ac:dyDescent="0.2">
      <c r="A3" t="s">
        <v>31</v>
      </c>
      <c r="B3" t="s">
        <v>39</v>
      </c>
      <c r="C3">
        <v>10</v>
      </c>
    </row>
    <row r="4" spans="1:3" x14ac:dyDescent="0.2">
      <c r="A4" t="s">
        <v>149</v>
      </c>
      <c r="B4" t="s">
        <v>21</v>
      </c>
      <c r="C4">
        <v>20</v>
      </c>
    </row>
    <row r="5" spans="1:3" x14ac:dyDescent="0.2">
      <c r="A5" t="s">
        <v>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
  <sheetViews>
    <sheetView workbookViewId="0"/>
  </sheetViews>
  <sheetFormatPr baseColWidth="10" defaultColWidth="8.83203125" defaultRowHeight="15" x14ac:dyDescent="0.2"/>
  <sheetData>
    <row r="1" spans="1:1" x14ac:dyDescent="0.2">
      <c r="A1" s="1" t="s">
        <v>234</v>
      </c>
    </row>
    <row r="2" spans="1:1" x14ac:dyDescent="0.2">
      <c r="A2" t="s">
        <v>235</v>
      </c>
    </row>
    <row r="3" spans="1:1" x14ac:dyDescent="0.2">
      <c r="A3" t="s">
        <v>236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EEE6C-E3E0-E544-A038-BEFFA0B97036}">
  <dimension ref="A1:E165"/>
  <sheetViews>
    <sheetView workbookViewId="0"/>
  </sheetViews>
  <sheetFormatPr baseColWidth="10" defaultColWidth="8.83203125" defaultRowHeight="15" x14ac:dyDescent="0.2"/>
  <cols>
    <col min="1" max="1" width="12" customWidth="1"/>
    <col min="2" max="2" width="8" customWidth="1"/>
    <col min="3" max="3" width="10" customWidth="1"/>
    <col min="4" max="4" width="26" customWidth="1"/>
    <col min="5" max="5" width="30" customWidth="1"/>
  </cols>
  <sheetData>
    <row r="1" spans="1:5" x14ac:dyDescent="0.2">
      <c r="A1" s="1" t="s">
        <v>3</v>
      </c>
      <c r="B1" s="1" t="s">
        <v>2</v>
      </c>
      <c r="C1" s="1" t="s">
        <v>237</v>
      </c>
      <c r="D1" s="1" t="s">
        <v>238</v>
      </c>
      <c r="E1" s="1" t="s">
        <v>239</v>
      </c>
    </row>
    <row r="2" spans="1:5" x14ac:dyDescent="0.2">
      <c r="A2" s="3" t="s">
        <v>109</v>
      </c>
      <c r="B2" t="s">
        <v>108</v>
      </c>
      <c r="C2" t="s">
        <v>240</v>
      </c>
      <c r="D2" t="s">
        <v>110</v>
      </c>
      <c r="E2" t="s">
        <v>241</v>
      </c>
    </row>
    <row r="3" spans="1:5" x14ac:dyDescent="0.2">
      <c r="A3" s="3" t="s">
        <v>242</v>
      </c>
      <c r="B3" t="s">
        <v>108</v>
      </c>
      <c r="C3" t="s">
        <v>243</v>
      </c>
      <c r="D3" t="s">
        <v>244</v>
      </c>
      <c r="E3" t="s">
        <v>245</v>
      </c>
    </row>
    <row r="4" spans="1:5" x14ac:dyDescent="0.2">
      <c r="A4" s="3" t="s">
        <v>246</v>
      </c>
      <c r="B4" t="s">
        <v>14</v>
      </c>
      <c r="C4" t="s">
        <v>243</v>
      </c>
      <c r="D4" t="s">
        <v>244</v>
      </c>
      <c r="E4" t="s">
        <v>245</v>
      </c>
    </row>
    <row r="5" spans="1:5" x14ac:dyDescent="0.2">
      <c r="A5" s="3" t="s">
        <v>247</v>
      </c>
      <c r="B5" t="s">
        <v>108</v>
      </c>
      <c r="C5" t="s">
        <v>248</v>
      </c>
      <c r="D5" t="s">
        <v>249</v>
      </c>
      <c r="E5" t="s">
        <v>250</v>
      </c>
    </row>
    <row r="6" spans="1:5" x14ac:dyDescent="0.2">
      <c r="A6" s="3" t="s">
        <v>47</v>
      </c>
      <c r="B6" t="s">
        <v>14</v>
      </c>
      <c r="C6" t="s">
        <v>248</v>
      </c>
      <c r="D6" t="s">
        <v>249</v>
      </c>
      <c r="E6" t="s">
        <v>250</v>
      </c>
    </row>
    <row r="7" spans="1:5" x14ac:dyDescent="0.2">
      <c r="A7" s="3" t="s">
        <v>251</v>
      </c>
      <c r="B7" t="s">
        <v>108</v>
      </c>
      <c r="C7" t="s">
        <v>252</v>
      </c>
      <c r="D7" t="s">
        <v>253</v>
      </c>
      <c r="E7" t="s">
        <v>245</v>
      </c>
    </row>
    <row r="8" spans="1:5" x14ac:dyDescent="0.2">
      <c r="A8" s="3" t="s">
        <v>254</v>
      </c>
      <c r="B8" t="s">
        <v>14</v>
      </c>
      <c r="C8" t="s">
        <v>252</v>
      </c>
      <c r="D8" t="s">
        <v>253</v>
      </c>
      <c r="E8" t="s">
        <v>245</v>
      </c>
    </row>
    <row r="9" spans="1:5" x14ac:dyDescent="0.2">
      <c r="A9" s="3" t="s">
        <v>255</v>
      </c>
      <c r="B9" t="s">
        <v>108</v>
      </c>
      <c r="C9" t="s">
        <v>256</v>
      </c>
      <c r="D9" t="s">
        <v>257</v>
      </c>
      <c r="E9" t="s">
        <v>250</v>
      </c>
    </row>
    <row r="10" spans="1:5" x14ac:dyDescent="0.2">
      <c r="A10" s="3" t="s">
        <v>258</v>
      </c>
      <c r="B10" t="s">
        <v>108</v>
      </c>
      <c r="C10" t="s">
        <v>259</v>
      </c>
      <c r="D10" t="s">
        <v>260</v>
      </c>
      <c r="E10" t="s">
        <v>250</v>
      </c>
    </row>
    <row r="11" spans="1:5" x14ac:dyDescent="0.2">
      <c r="A11" s="3" t="s">
        <v>261</v>
      </c>
      <c r="B11" t="s">
        <v>14</v>
      </c>
      <c r="C11" t="s">
        <v>259</v>
      </c>
      <c r="D11" t="s">
        <v>260</v>
      </c>
      <c r="E11" t="s">
        <v>250</v>
      </c>
    </row>
    <row r="12" spans="1:5" x14ac:dyDescent="0.2">
      <c r="A12" s="3" t="s">
        <v>262</v>
      </c>
      <c r="B12" t="s">
        <v>108</v>
      </c>
      <c r="C12" t="s">
        <v>263</v>
      </c>
      <c r="D12" t="s">
        <v>264</v>
      </c>
      <c r="E12" t="s">
        <v>245</v>
      </c>
    </row>
    <row r="13" spans="1:5" x14ac:dyDescent="0.2">
      <c r="A13" s="3" t="s">
        <v>265</v>
      </c>
      <c r="B13" t="s">
        <v>108</v>
      </c>
      <c r="C13" t="s">
        <v>266</v>
      </c>
      <c r="D13" t="s">
        <v>267</v>
      </c>
      <c r="E13" t="s">
        <v>250</v>
      </c>
    </row>
    <row r="14" spans="1:5" x14ac:dyDescent="0.2">
      <c r="A14" s="3" t="s">
        <v>116</v>
      </c>
      <c r="B14" t="s">
        <v>108</v>
      </c>
      <c r="C14" t="s">
        <v>268</v>
      </c>
      <c r="D14" t="s">
        <v>117</v>
      </c>
      <c r="E14" t="s">
        <v>269</v>
      </c>
    </row>
    <row r="15" spans="1:5" x14ac:dyDescent="0.2">
      <c r="A15" s="3" t="s">
        <v>270</v>
      </c>
      <c r="B15" t="s">
        <v>108</v>
      </c>
      <c r="C15" t="s">
        <v>271</v>
      </c>
      <c r="D15" t="s">
        <v>272</v>
      </c>
      <c r="E15" t="s">
        <v>250</v>
      </c>
    </row>
    <row r="16" spans="1:5" x14ac:dyDescent="0.2">
      <c r="A16" s="3" t="s">
        <v>273</v>
      </c>
      <c r="B16" t="s">
        <v>108</v>
      </c>
      <c r="C16" t="s">
        <v>274</v>
      </c>
      <c r="D16" t="s">
        <v>275</v>
      </c>
      <c r="E16" t="s">
        <v>245</v>
      </c>
    </row>
    <row r="17" spans="1:5" x14ac:dyDescent="0.2">
      <c r="A17" s="3" t="s">
        <v>43</v>
      </c>
      <c r="B17" t="s">
        <v>14</v>
      </c>
      <c r="C17" t="s">
        <v>274</v>
      </c>
      <c r="D17" t="s">
        <v>275</v>
      </c>
      <c r="E17" t="s">
        <v>245</v>
      </c>
    </row>
    <row r="18" spans="1:5" x14ac:dyDescent="0.2">
      <c r="A18" s="3" t="s">
        <v>276</v>
      </c>
      <c r="B18" t="s">
        <v>108</v>
      </c>
      <c r="C18" t="s">
        <v>277</v>
      </c>
      <c r="D18" t="s">
        <v>278</v>
      </c>
      <c r="E18" t="s">
        <v>269</v>
      </c>
    </row>
    <row r="19" spans="1:5" x14ac:dyDescent="0.2">
      <c r="A19" s="3" t="s">
        <v>59</v>
      </c>
      <c r="B19" t="s">
        <v>14</v>
      </c>
      <c r="C19" t="s">
        <v>277</v>
      </c>
      <c r="D19" t="s">
        <v>278</v>
      </c>
      <c r="E19" t="s">
        <v>269</v>
      </c>
    </row>
    <row r="20" spans="1:5" x14ac:dyDescent="0.2">
      <c r="A20" s="3" t="s">
        <v>279</v>
      </c>
      <c r="B20" t="s">
        <v>108</v>
      </c>
      <c r="C20" t="s">
        <v>280</v>
      </c>
      <c r="D20" t="s">
        <v>281</v>
      </c>
      <c r="E20" t="s">
        <v>245</v>
      </c>
    </row>
    <row r="21" spans="1:5" x14ac:dyDescent="0.2">
      <c r="A21" s="3" t="s">
        <v>282</v>
      </c>
      <c r="B21" t="s">
        <v>108</v>
      </c>
      <c r="C21" t="s">
        <v>283</v>
      </c>
      <c r="D21" t="s">
        <v>284</v>
      </c>
      <c r="E21" t="s">
        <v>285</v>
      </c>
    </row>
    <row r="22" spans="1:5" x14ac:dyDescent="0.2">
      <c r="A22" s="3" t="s">
        <v>286</v>
      </c>
      <c r="B22" t="s">
        <v>108</v>
      </c>
      <c r="C22" t="s">
        <v>287</v>
      </c>
      <c r="D22" t="s">
        <v>288</v>
      </c>
      <c r="E22" t="s">
        <v>245</v>
      </c>
    </row>
    <row r="23" spans="1:5" x14ac:dyDescent="0.2">
      <c r="A23" s="3" t="s">
        <v>122</v>
      </c>
      <c r="B23" t="s">
        <v>108</v>
      </c>
      <c r="C23" t="s">
        <v>289</v>
      </c>
      <c r="D23" t="s">
        <v>123</v>
      </c>
      <c r="E23" t="s">
        <v>285</v>
      </c>
    </row>
    <row r="24" spans="1:5" x14ac:dyDescent="0.2">
      <c r="A24" s="3" t="s">
        <v>290</v>
      </c>
      <c r="B24" t="s">
        <v>108</v>
      </c>
      <c r="C24" t="s">
        <v>291</v>
      </c>
      <c r="D24" t="s">
        <v>292</v>
      </c>
      <c r="E24" t="s">
        <v>245</v>
      </c>
    </row>
    <row r="25" spans="1:5" x14ac:dyDescent="0.2">
      <c r="A25" s="3" t="s">
        <v>293</v>
      </c>
      <c r="B25" t="s">
        <v>14</v>
      </c>
      <c r="C25" t="s">
        <v>291</v>
      </c>
      <c r="D25" t="s">
        <v>292</v>
      </c>
      <c r="E25" t="s">
        <v>245</v>
      </c>
    </row>
    <row r="26" spans="1:5" x14ac:dyDescent="0.2">
      <c r="A26" s="3" t="s">
        <v>128</v>
      </c>
      <c r="B26" t="s">
        <v>108</v>
      </c>
      <c r="C26" t="s">
        <v>294</v>
      </c>
      <c r="D26" t="s">
        <v>129</v>
      </c>
      <c r="E26" t="s">
        <v>250</v>
      </c>
    </row>
    <row r="27" spans="1:5" x14ac:dyDescent="0.2">
      <c r="A27" s="3" t="s">
        <v>295</v>
      </c>
      <c r="B27" t="s">
        <v>108</v>
      </c>
      <c r="C27" t="s">
        <v>296</v>
      </c>
      <c r="D27" t="s">
        <v>297</v>
      </c>
      <c r="E27" t="s">
        <v>245</v>
      </c>
    </row>
    <row r="28" spans="1:5" x14ac:dyDescent="0.2">
      <c r="A28" s="3" t="s">
        <v>87</v>
      </c>
      <c r="B28" t="s">
        <v>14</v>
      </c>
      <c r="C28" t="s">
        <v>296</v>
      </c>
      <c r="D28" t="s">
        <v>297</v>
      </c>
      <c r="E28" t="s">
        <v>245</v>
      </c>
    </row>
    <row r="29" spans="1:5" x14ac:dyDescent="0.2">
      <c r="A29" s="3" t="s">
        <v>298</v>
      </c>
      <c r="B29" t="s">
        <v>108</v>
      </c>
      <c r="C29" t="s">
        <v>299</v>
      </c>
      <c r="D29" t="s">
        <v>300</v>
      </c>
      <c r="E29" t="s">
        <v>245</v>
      </c>
    </row>
    <row r="30" spans="1:5" x14ac:dyDescent="0.2">
      <c r="A30" s="3" t="s">
        <v>301</v>
      </c>
      <c r="B30" t="s">
        <v>14</v>
      </c>
      <c r="C30" t="s">
        <v>299</v>
      </c>
      <c r="D30" t="s">
        <v>300</v>
      </c>
      <c r="E30" t="s">
        <v>245</v>
      </c>
    </row>
    <row r="31" spans="1:5" x14ac:dyDescent="0.2">
      <c r="A31" s="3" t="s">
        <v>302</v>
      </c>
      <c r="B31" t="s">
        <v>108</v>
      </c>
      <c r="C31" t="s">
        <v>303</v>
      </c>
      <c r="D31" t="s">
        <v>304</v>
      </c>
      <c r="E31" t="s">
        <v>250</v>
      </c>
    </row>
    <row r="32" spans="1:5" x14ac:dyDescent="0.2">
      <c r="A32" s="3" t="s">
        <v>305</v>
      </c>
      <c r="B32" t="s">
        <v>14</v>
      </c>
      <c r="C32" t="s">
        <v>303</v>
      </c>
      <c r="D32" t="s">
        <v>304</v>
      </c>
      <c r="E32" t="s">
        <v>250</v>
      </c>
    </row>
    <row r="33" spans="1:5" x14ac:dyDescent="0.2">
      <c r="A33" s="3" t="s">
        <v>306</v>
      </c>
      <c r="B33" t="s">
        <v>108</v>
      </c>
      <c r="C33" t="s">
        <v>307</v>
      </c>
      <c r="D33" t="s">
        <v>308</v>
      </c>
      <c r="E33" t="s">
        <v>269</v>
      </c>
    </row>
    <row r="34" spans="1:5" x14ac:dyDescent="0.2">
      <c r="A34" s="3" t="s">
        <v>102</v>
      </c>
      <c r="B34" t="s">
        <v>14</v>
      </c>
      <c r="C34" t="s">
        <v>307</v>
      </c>
      <c r="D34" t="s">
        <v>308</v>
      </c>
      <c r="E34" t="s">
        <v>269</v>
      </c>
    </row>
    <row r="35" spans="1:5" x14ac:dyDescent="0.2">
      <c r="A35" s="3" t="s">
        <v>309</v>
      </c>
      <c r="B35" t="s">
        <v>108</v>
      </c>
      <c r="C35" t="s">
        <v>310</v>
      </c>
      <c r="D35" t="s">
        <v>311</v>
      </c>
      <c r="E35" t="s">
        <v>245</v>
      </c>
    </row>
    <row r="36" spans="1:5" x14ac:dyDescent="0.2">
      <c r="A36" s="3" t="s">
        <v>312</v>
      </c>
      <c r="B36" t="s">
        <v>108</v>
      </c>
      <c r="C36" t="s">
        <v>313</v>
      </c>
      <c r="D36" t="s">
        <v>314</v>
      </c>
      <c r="E36" t="s">
        <v>245</v>
      </c>
    </row>
    <row r="37" spans="1:5" x14ac:dyDescent="0.2">
      <c r="A37" s="3" t="s">
        <v>216</v>
      </c>
      <c r="B37" t="s">
        <v>108</v>
      </c>
      <c r="C37" t="s">
        <v>313</v>
      </c>
      <c r="D37" t="s">
        <v>314</v>
      </c>
      <c r="E37" t="s">
        <v>245</v>
      </c>
    </row>
    <row r="38" spans="1:5" x14ac:dyDescent="0.2">
      <c r="A38" s="3" t="s">
        <v>315</v>
      </c>
      <c r="B38" t="s">
        <v>108</v>
      </c>
      <c r="C38" t="s">
        <v>316</v>
      </c>
      <c r="D38" t="s">
        <v>188</v>
      </c>
      <c r="E38" t="s">
        <v>250</v>
      </c>
    </row>
    <row r="39" spans="1:5" x14ac:dyDescent="0.2">
      <c r="A39" s="3" t="s">
        <v>187</v>
      </c>
      <c r="B39" t="s">
        <v>14</v>
      </c>
      <c r="C39" t="s">
        <v>316</v>
      </c>
      <c r="D39" t="s">
        <v>188</v>
      </c>
      <c r="E39" t="s">
        <v>250</v>
      </c>
    </row>
    <row r="40" spans="1:5" x14ac:dyDescent="0.2">
      <c r="A40" s="3" t="s">
        <v>317</v>
      </c>
      <c r="B40" t="s">
        <v>108</v>
      </c>
      <c r="C40" t="s">
        <v>318</v>
      </c>
      <c r="D40" t="s">
        <v>319</v>
      </c>
      <c r="E40" t="s">
        <v>245</v>
      </c>
    </row>
    <row r="41" spans="1:5" x14ac:dyDescent="0.2">
      <c r="A41" s="3" t="s">
        <v>15</v>
      </c>
      <c r="B41" t="s">
        <v>14</v>
      </c>
      <c r="C41" t="s">
        <v>318</v>
      </c>
      <c r="D41" t="s">
        <v>319</v>
      </c>
      <c r="E41" t="s">
        <v>245</v>
      </c>
    </row>
    <row r="42" spans="1:5" x14ac:dyDescent="0.2">
      <c r="A42" s="3" t="s">
        <v>320</v>
      </c>
      <c r="B42" t="s">
        <v>108</v>
      </c>
      <c r="C42" t="s">
        <v>321</v>
      </c>
      <c r="D42" t="s">
        <v>322</v>
      </c>
      <c r="E42" t="s">
        <v>269</v>
      </c>
    </row>
    <row r="43" spans="1:5" x14ac:dyDescent="0.2">
      <c r="A43" s="3" t="s">
        <v>223</v>
      </c>
      <c r="B43" t="s">
        <v>108</v>
      </c>
      <c r="C43" t="s">
        <v>321</v>
      </c>
      <c r="D43" t="s">
        <v>322</v>
      </c>
      <c r="E43" t="s">
        <v>269</v>
      </c>
    </row>
    <row r="44" spans="1:5" x14ac:dyDescent="0.2">
      <c r="A44" s="3" t="s">
        <v>323</v>
      </c>
      <c r="B44" t="s">
        <v>14</v>
      </c>
      <c r="C44" t="s">
        <v>321</v>
      </c>
      <c r="D44" t="s">
        <v>322</v>
      </c>
      <c r="E44" t="s">
        <v>269</v>
      </c>
    </row>
    <row r="45" spans="1:5" x14ac:dyDescent="0.2">
      <c r="A45" s="3" t="s">
        <v>324</v>
      </c>
      <c r="B45" t="s">
        <v>108</v>
      </c>
      <c r="C45" t="s">
        <v>325</v>
      </c>
      <c r="D45" t="s">
        <v>326</v>
      </c>
      <c r="E45" t="s">
        <v>285</v>
      </c>
    </row>
    <row r="46" spans="1:5" x14ac:dyDescent="0.2">
      <c r="A46" s="3" t="s">
        <v>202</v>
      </c>
      <c r="B46" t="s">
        <v>14</v>
      </c>
      <c r="C46" t="s">
        <v>325</v>
      </c>
      <c r="D46" t="s">
        <v>326</v>
      </c>
      <c r="E46" t="s">
        <v>285</v>
      </c>
    </row>
    <row r="47" spans="1:5" x14ac:dyDescent="0.2">
      <c r="A47" s="3" t="s">
        <v>327</v>
      </c>
      <c r="B47" t="s">
        <v>108</v>
      </c>
      <c r="C47" t="s">
        <v>328</v>
      </c>
      <c r="D47" t="s">
        <v>329</v>
      </c>
      <c r="E47" t="s">
        <v>245</v>
      </c>
    </row>
    <row r="48" spans="1:5" x14ac:dyDescent="0.2">
      <c r="A48" s="3" t="s">
        <v>330</v>
      </c>
      <c r="B48" t="s">
        <v>108</v>
      </c>
      <c r="C48" t="s">
        <v>331</v>
      </c>
      <c r="D48" t="s">
        <v>332</v>
      </c>
      <c r="E48" t="s">
        <v>269</v>
      </c>
    </row>
    <row r="49" spans="1:5" x14ac:dyDescent="0.2">
      <c r="A49" s="3" t="s">
        <v>333</v>
      </c>
      <c r="B49" t="s">
        <v>14</v>
      </c>
      <c r="C49" t="s">
        <v>331</v>
      </c>
      <c r="D49" t="s">
        <v>332</v>
      </c>
      <c r="E49" t="s">
        <v>269</v>
      </c>
    </row>
    <row r="50" spans="1:5" x14ac:dyDescent="0.2">
      <c r="A50" s="3" t="s">
        <v>131</v>
      </c>
      <c r="B50" t="s">
        <v>108</v>
      </c>
      <c r="C50" t="s">
        <v>334</v>
      </c>
      <c r="D50" t="s">
        <v>132</v>
      </c>
      <c r="E50" t="s">
        <v>269</v>
      </c>
    </row>
    <row r="51" spans="1:5" x14ac:dyDescent="0.2">
      <c r="A51" s="3" t="s">
        <v>335</v>
      </c>
      <c r="B51" t="s">
        <v>108</v>
      </c>
      <c r="C51" t="s">
        <v>336</v>
      </c>
      <c r="D51" t="s">
        <v>337</v>
      </c>
      <c r="E51" t="s">
        <v>285</v>
      </c>
    </row>
    <row r="52" spans="1:5" x14ac:dyDescent="0.2">
      <c r="A52" s="3" t="s">
        <v>338</v>
      </c>
      <c r="B52" t="s">
        <v>108</v>
      </c>
      <c r="C52" t="s">
        <v>339</v>
      </c>
      <c r="D52" t="s">
        <v>340</v>
      </c>
      <c r="E52" t="s">
        <v>285</v>
      </c>
    </row>
    <row r="53" spans="1:5" x14ac:dyDescent="0.2">
      <c r="A53" s="3" t="s">
        <v>56</v>
      </c>
      <c r="B53" t="s">
        <v>14</v>
      </c>
      <c r="C53" t="s">
        <v>339</v>
      </c>
      <c r="D53" t="s">
        <v>340</v>
      </c>
      <c r="E53" t="s">
        <v>285</v>
      </c>
    </row>
    <row r="54" spans="1:5" x14ac:dyDescent="0.2">
      <c r="A54" s="3" t="s">
        <v>341</v>
      </c>
      <c r="B54" t="s">
        <v>108</v>
      </c>
      <c r="C54" t="s">
        <v>342</v>
      </c>
      <c r="D54" t="s">
        <v>343</v>
      </c>
      <c r="E54" t="s">
        <v>241</v>
      </c>
    </row>
    <row r="55" spans="1:5" x14ac:dyDescent="0.2">
      <c r="A55" s="3" t="s">
        <v>344</v>
      </c>
      <c r="B55" t="s">
        <v>14</v>
      </c>
      <c r="C55" t="s">
        <v>342</v>
      </c>
      <c r="D55" t="s">
        <v>343</v>
      </c>
      <c r="E55" t="s">
        <v>241</v>
      </c>
    </row>
    <row r="56" spans="1:5" x14ac:dyDescent="0.2">
      <c r="A56" s="3" t="s">
        <v>134</v>
      </c>
      <c r="B56" t="s">
        <v>108</v>
      </c>
      <c r="C56" t="s">
        <v>345</v>
      </c>
      <c r="D56" t="s">
        <v>135</v>
      </c>
      <c r="E56" t="s">
        <v>285</v>
      </c>
    </row>
    <row r="57" spans="1:5" x14ac:dyDescent="0.2">
      <c r="A57" s="3" t="s">
        <v>346</v>
      </c>
      <c r="B57" t="s">
        <v>14</v>
      </c>
      <c r="C57" t="s">
        <v>345</v>
      </c>
      <c r="D57" t="s">
        <v>135</v>
      </c>
      <c r="E57" t="s">
        <v>285</v>
      </c>
    </row>
    <row r="58" spans="1:5" x14ac:dyDescent="0.2">
      <c r="A58" s="3" t="s">
        <v>347</v>
      </c>
      <c r="B58" t="s">
        <v>108</v>
      </c>
      <c r="C58" t="s">
        <v>348</v>
      </c>
      <c r="D58" t="s">
        <v>349</v>
      </c>
      <c r="E58" t="s">
        <v>241</v>
      </c>
    </row>
    <row r="59" spans="1:5" x14ac:dyDescent="0.2">
      <c r="A59" s="3" t="s">
        <v>227</v>
      </c>
      <c r="B59" t="s">
        <v>108</v>
      </c>
      <c r="C59" t="s">
        <v>348</v>
      </c>
      <c r="D59" t="s">
        <v>349</v>
      </c>
      <c r="E59" t="s">
        <v>241</v>
      </c>
    </row>
    <row r="60" spans="1:5" x14ac:dyDescent="0.2">
      <c r="A60" s="3" t="s">
        <v>350</v>
      </c>
      <c r="B60" t="s">
        <v>108</v>
      </c>
      <c r="C60" t="s">
        <v>351</v>
      </c>
      <c r="D60" t="s">
        <v>352</v>
      </c>
      <c r="E60" t="s">
        <v>245</v>
      </c>
    </row>
    <row r="61" spans="1:5" x14ac:dyDescent="0.2">
      <c r="A61" s="3" t="s">
        <v>353</v>
      </c>
      <c r="B61" t="s">
        <v>14</v>
      </c>
      <c r="C61" t="s">
        <v>351</v>
      </c>
      <c r="D61" t="s">
        <v>352</v>
      </c>
      <c r="E61" t="s">
        <v>245</v>
      </c>
    </row>
    <row r="62" spans="1:5" x14ac:dyDescent="0.2">
      <c r="A62" s="3" t="s">
        <v>354</v>
      </c>
      <c r="B62" t="s">
        <v>108</v>
      </c>
      <c r="C62" t="s">
        <v>355</v>
      </c>
      <c r="D62" t="s">
        <v>356</v>
      </c>
      <c r="E62" t="s">
        <v>245</v>
      </c>
    </row>
    <row r="63" spans="1:5" x14ac:dyDescent="0.2">
      <c r="A63" s="3" t="s">
        <v>34</v>
      </c>
      <c r="B63" t="s">
        <v>14</v>
      </c>
      <c r="C63" t="s">
        <v>355</v>
      </c>
      <c r="D63" t="s">
        <v>356</v>
      </c>
      <c r="E63" t="s">
        <v>245</v>
      </c>
    </row>
    <row r="64" spans="1:5" x14ac:dyDescent="0.2">
      <c r="A64" s="3" t="s">
        <v>137</v>
      </c>
      <c r="B64" t="s">
        <v>108</v>
      </c>
      <c r="C64" t="s">
        <v>357</v>
      </c>
      <c r="D64" t="s">
        <v>138</v>
      </c>
      <c r="E64" t="s">
        <v>269</v>
      </c>
    </row>
    <row r="65" spans="1:5" x14ac:dyDescent="0.2">
      <c r="A65" s="3" t="s">
        <v>358</v>
      </c>
      <c r="B65" t="s">
        <v>108</v>
      </c>
      <c r="C65" t="s">
        <v>359</v>
      </c>
      <c r="D65" t="s">
        <v>360</v>
      </c>
      <c r="E65" t="s">
        <v>241</v>
      </c>
    </row>
    <row r="66" spans="1:5" x14ac:dyDescent="0.2">
      <c r="A66" s="3" t="s">
        <v>53</v>
      </c>
      <c r="B66" t="s">
        <v>14</v>
      </c>
      <c r="C66" t="s">
        <v>359</v>
      </c>
      <c r="D66" t="s">
        <v>360</v>
      </c>
      <c r="E66" t="s">
        <v>241</v>
      </c>
    </row>
    <row r="67" spans="1:5" x14ac:dyDescent="0.2">
      <c r="A67" s="3" t="s">
        <v>143</v>
      </c>
      <c r="B67" t="s">
        <v>108</v>
      </c>
      <c r="C67" t="s">
        <v>361</v>
      </c>
      <c r="D67" t="s">
        <v>144</v>
      </c>
      <c r="E67" t="s">
        <v>269</v>
      </c>
    </row>
    <row r="68" spans="1:5" x14ac:dyDescent="0.2">
      <c r="A68" s="3" t="s">
        <v>147</v>
      </c>
      <c r="B68" t="s">
        <v>108</v>
      </c>
      <c r="C68" t="s">
        <v>362</v>
      </c>
      <c r="D68" t="s">
        <v>148</v>
      </c>
      <c r="E68" t="s">
        <v>245</v>
      </c>
    </row>
    <row r="69" spans="1:5" x14ac:dyDescent="0.2">
      <c r="A69" s="3" t="s">
        <v>151</v>
      </c>
      <c r="B69" t="s">
        <v>108</v>
      </c>
      <c r="C69" t="s">
        <v>363</v>
      </c>
      <c r="D69" t="s">
        <v>152</v>
      </c>
      <c r="E69" t="s">
        <v>250</v>
      </c>
    </row>
    <row r="70" spans="1:5" x14ac:dyDescent="0.2">
      <c r="A70" s="3" t="s">
        <v>364</v>
      </c>
      <c r="B70" t="s">
        <v>108</v>
      </c>
      <c r="C70" t="s">
        <v>365</v>
      </c>
      <c r="D70" t="s">
        <v>366</v>
      </c>
      <c r="E70" t="s">
        <v>245</v>
      </c>
    </row>
    <row r="71" spans="1:5" x14ac:dyDescent="0.2">
      <c r="A71" s="3" t="s">
        <v>367</v>
      </c>
      <c r="B71" t="s">
        <v>14</v>
      </c>
      <c r="C71" t="s">
        <v>365</v>
      </c>
      <c r="D71" t="s">
        <v>366</v>
      </c>
      <c r="E71" t="s">
        <v>245</v>
      </c>
    </row>
    <row r="72" spans="1:5" x14ac:dyDescent="0.2">
      <c r="A72" s="3" t="s">
        <v>154</v>
      </c>
      <c r="B72" t="s">
        <v>108</v>
      </c>
      <c r="C72" t="s">
        <v>368</v>
      </c>
      <c r="D72" t="s">
        <v>155</v>
      </c>
      <c r="E72" t="s">
        <v>285</v>
      </c>
    </row>
    <row r="73" spans="1:5" x14ac:dyDescent="0.2">
      <c r="A73" s="3" t="s">
        <v>369</v>
      </c>
      <c r="B73" t="s">
        <v>108</v>
      </c>
      <c r="C73" t="s">
        <v>370</v>
      </c>
      <c r="D73" t="s">
        <v>371</v>
      </c>
      <c r="E73" t="s">
        <v>285</v>
      </c>
    </row>
    <row r="74" spans="1:5" x14ac:dyDescent="0.2">
      <c r="A74" s="3" t="s">
        <v>372</v>
      </c>
      <c r="B74" t="s">
        <v>14</v>
      </c>
      <c r="C74" t="s">
        <v>370</v>
      </c>
      <c r="D74" t="s">
        <v>371</v>
      </c>
      <c r="E74" t="s">
        <v>285</v>
      </c>
    </row>
    <row r="75" spans="1:5" x14ac:dyDescent="0.2">
      <c r="A75" s="3" t="s">
        <v>159</v>
      </c>
      <c r="B75" t="s">
        <v>108</v>
      </c>
      <c r="C75" t="s">
        <v>373</v>
      </c>
      <c r="D75" t="s">
        <v>160</v>
      </c>
      <c r="E75" t="s">
        <v>241</v>
      </c>
    </row>
    <row r="76" spans="1:5" x14ac:dyDescent="0.2">
      <c r="A76" s="3" t="s">
        <v>162</v>
      </c>
      <c r="B76" t="s">
        <v>108</v>
      </c>
      <c r="C76" t="s">
        <v>374</v>
      </c>
      <c r="D76" t="s">
        <v>163</v>
      </c>
      <c r="E76" t="s">
        <v>285</v>
      </c>
    </row>
    <row r="77" spans="1:5" x14ac:dyDescent="0.2">
      <c r="A77" s="3" t="s">
        <v>90</v>
      </c>
      <c r="B77" t="s">
        <v>14</v>
      </c>
      <c r="C77" t="s">
        <v>374</v>
      </c>
      <c r="D77" t="s">
        <v>163</v>
      </c>
      <c r="E77" t="s">
        <v>285</v>
      </c>
    </row>
    <row r="78" spans="1:5" x14ac:dyDescent="0.2">
      <c r="A78" s="3" t="s">
        <v>375</v>
      </c>
      <c r="B78" t="s">
        <v>108</v>
      </c>
      <c r="C78" t="s">
        <v>376</v>
      </c>
      <c r="D78" t="s">
        <v>377</v>
      </c>
      <c r="E78" t="s">
        <v>245</v>
      </c>
    </row>
    <row r="79" spans="1:5" x14ac:dyDescent="0.2">
      <c r="A79" s="3" t="s">
        <v>378</v>
      </c>
      <c r="B79" t="s">
        <v>14</v>
      </c>
      <c r="C79" t="s">
        <v>376</v>
      </c>
      <c r="D79" t="s">
        <v>377</v>
      </c>
      <c r="E79" t="s">
        <v>245</v>
      </c>
    </row>
    <row r="80" spans="1:5" x14ac:dyDescent="0.2">
      <c r="A80" s="3" t="s">
        <v>379</v>
      </c>
      <c r="B80" t="s">
        <v>108</v>
      </c>
      <c r="C80" t="s">
        <v>380</v>
      </c>
      <c r="D80" t="s">
        <v>381</v>
      </c>
      <c r="E80" t="s">
        <v>269</v>
      </c>
    </row>
    <row r="81" spans="1:5" x14ac:dyDescent="0.2">
      <c r="A81" s="3" t="s">
        <v>165</v>
      </c>
      <c r="B81" t="s">
        <v>108</v>
      </c>
      <c r="C81" t="s">
        <v>382</v>
      </c>
      <c r="D81" t="s">
        <v>166</v>
      </c>
      <c r="E81" t="s">
        <v>250</v>
      </c>
    </row>
    <row r="82" spans="1:5" x14ac:dyDescent="0.2">
      <c r="A82" s="3" t="s">
        <v>383</v>
      </c>
      <c r="B82" t="s">
        <v>108</v>
      </c>
      <c r="C82" t="s">
        <v>384</v>
      </c>
      <c r="D82" t="s">
        <v>385</v>
      </c>
      <c r="E82" t="s">
        <v>285</v>
      </c>
    </row>
    <row r="83" spans="1:5" x14ac:dyDescent="0.2">
      <c r="A83" s="3" t="s">
        <v>386</v>
      </c>
      <c r="B83" t="s">
        <v>14</v>
      </c>
      <c r="C83" t="s">
        <v>384</v>
      </c>
      <c r="D83" t="s">
        <v>385</v>
      </c>
      <c r="E83" t="s">
        <v>285</v>
      </c>
    </row>
    <row r="84" spans="1:5" x14ac:dyDescent="0.2">
      <c r="A84" s="3" t="s">
        <v>387</v>
      </c>
      <c r="B84" t="s">
        <v>108</v>
      </c>
      <c r="C84" t="s">
        <v>388</v>
      </c>
      <c r="D84" t="s">
        <v>389</v>
      </c>
      <c r="E84" t="s">
        <v>250</v>
      </c>
    </row>
    <row r="85" spans="1:5" x14ac:dyDescent="0.2">
      <c r="A85" s="3" t="s">
        <v>231</v>
      </c>
      <c r="B85" t="s">
        <v>108</v>
      </c>
      <c r="C85" t="s">
        <v>388</v>
      </c>
      <c r="D85" t="s">
        <v>389</v>
      </c>
      <c r="E85" t="s">
        <v>250</v>
      </c>
    </row>
    <row r="86" spans="1:5" x14ac:dyDescent="0.2">
      <c r="A86" s="3" t="s">
        <v>390</v>
      </c>
      <c r="B86" t="s">
        <v>108</v>
      </c>
      <c r="C86" t="s">
        <v>391</v>
      </c>
      <c r="D86" t="s">
        <v>392</v>
      </c>
      <c r="E86" t="s">
        <v>250</v>
      </c>
    </row>
    <row r="87" spans="1:5" x14ac:dyDescent="0.2">
      <c r="A87" s="3" t="s">
        <v>393</v>
      </c>
      <c r="B87" t="s">
        <v>108</v>
      </c>
      <c r="C87" t="s">
        <v>394</v>
      </c>
      <c r="D87" t="s">
        <v>395</v>
      </c>
      <c r="E87" t="s">
        <v>250</v>
      </c>
    </row>
    <row r="88" spans="1:5" x14ac:dyDescent="0.2">
      <c r="A88" s="3" t="s">
        <v>396</v>
      </c>
      <c r="B88" t="s">
        <v>14</v>
      </c>
      <c r="C88" t="s">
        <v>394</v>
      </c>
      <c r="D88" t="s">
        <v>395</v>
      </c>
      <c r="E88" t="s">
        <v>250</v>
      </c>
    </row>
    <row r="89" spans="1:5" x14ac:dyDescent="0.2">
      <c r="A89" s="3" t="s">
        <v>397</v>
      </c>
      <c r="B89" t="s">
        <v>108</v>
      </c>
      <c r="C89" t="s">
        <v>398</v>
      </c>
      <c r="D89" t="s">
        <v>399</v>
      </c>
      <c r="E89" t="s">
        <v>285</v>
      </c>
    </row>
    <row r="90" spans="1:5" x14ac:dyDescent="0.2">
      <c r="A90" s="3" t="s">
        <v>400</v>
      </c>
      <c r="B90" t="s">
        <v>108</v>
      </c>
      <c r="C90" t="s">
        <v>401</v>
      </c>
      <c r="D90" t="s">
        <v>402</v>
      </c>
      <c r="E90" t="s">
        <v>241</v>
      </c>
    </row>
    <row r="91" spans="1:5" x14ac:dyDescent="0.2">
      <c r="A91" s="3" t="s">
        <v>403</v>
      </c>
      <c r="B91" t="s">
        <v>14</v>
      </c>
      <c r="C91" t="s">
        <v>401</v>
      </c>
      <c r="D91" t="s">
        <v>402</v>
      </c>
      <c r="E91" t="s">
        <v>241</v>
      </c>
    </row>
    <row r="92" spans="1:5" x14ac:dyDescent="0.2">
      <c r="A92" s="3" t="s">
        <v>168</v>
      </c>
      <c r="B92" t="s">
        <v>108</v>
      </c>
      <c r="C92" t="s">
        <v>404</v>
      </c>
      <c r="D92" t="s">
        <v>169</v>
      </c>
      <c r="E92" t="s">
        <v>245</v>
      </c>
    </row>
    <row r="93" spans="1:5" x14ac:dyDescent="0.2">
      <c r="A93" s="3" t="s">
        <v>191</v>
      </c>
      <c r="B93" t="s">
        <v>14</v>
      </c>
      <c r="C93" t="s">
        <v>404</v>
      </c>
      <c r="D93" t="s">
        <v>169</v>
      </c>
      <c r="E93" t="s">
        <v>245</v>
      </c>
    </row>
    <row r="94" spans="1:5" x14ac:dyDescent="0.2">
      <c r="A94" s="3" t="s">
        <v>405</v>
      </c>
      <c r="B94" t="s">
        <v>108</v>
      </c>
      <c r="C94" t="s">
        <v>406</v>
      </c>
      <c r="D94" t="s">
        <v>407</v>
      </c>
      <c r="E94" t="s">
        <v>250</v>
      </c>
    </row>
    <row r="95" spans="1:5" x14ac:dyDescent="0.2">
      <c r="A95" s="3" t="s">
        <v>408</v>
      </c>
      <c r="B95" t="s">
        <v>14</v>
      </c>
      <c r="C95" t="s">
        <v>406</v>
      </c>
      <c r="D95" t="s">
        <v>407</v>
      </c>
      <c r="E95" t="s">
        <v>250</v>
      </c>
    </row>
    <row r="96" spans="1:5" x14ac:dyDescent="0.2">
      <c r="A96" s="3" t="s">
        <v>409</v>
      </c>
      <c r="B96" t="s">
        <v>108</v>
      </c>
      <c r="C96" t="s">
        <v>410</v>
      </c>
      <c r="D96" t="s">
        <v>411</v>
      </c>
      <c r="E96" t="s">
        <v>241</v>
      </c>
    </row>
    <row r="97" spans="1:5" x14ac:dyDescent="0.2">
      <c r="A97" s="3" t="s">
        <v>412</v>
      </c>
      <c r="B97" t="s">
        <v>108</v>
      </c>
      <c r="C97" t="s">
        <v>413</v>
      </c>
      <c r="D97" t="s">
        <v>414</v>
      </c>
      <c r="E97" t="s">
        <v>245</v>
      </c>
    </row>
    <row r="98" spans="1:5" x14ac:dyDescent="0.2">
      <c r="A98" s="3" t="s">
        <v>105</v>
      </c>
      <c r="B98" t="s">
        <v>14</v>
      </c>
      <c r="C98" t="s">
        <v>413</v>
      </c>
      <c r="D98" t="s">
        <v>414</v>
      </c>
      <c r="E98" t="s">
        <v>245</v>
      </c>
    </row>
    <row r="99" spans="1:5" x14ac:dyDescent="0.2">
      <c r="A99" s="3" t="s">
        <v>171</v>
      </c>
      <c r="B99" t="s">
        <v>108</v>
      </c>
      <c r="C99" t="s">
        <v>415</v>
      </c>
      <c r="D99" t="s">
        <v>172</v>
      </c>
      <c r="E99" t="s">
        <v>241</v>
      </c>
    </row>
    <row r="100" spans="1:5" x14ac:dyDescent="0.2">
      <c r="A100" s="3" t="s">
        <v>416</v>
      </c>
      <c r="B100" t="s">
        <v>108</v>
      </c>
      <c r="C100" t="s">
        <v>417</v>
      </c>
      <c r="D100" t="s">
        <v>418</v>
      </c>
      <c r="E100" t="s">
        <v>245</v>
      </c>
    </row>
    <row r="101" spans="1:5" x14ac:dyDescent="0.2">
      <c r="A101" s="3" t="s">
        <v>419</v>
      </c>
      <c r="B101" t="s">
        <v>108</v>
      </c>
      <c r="C101" t="s">
        <v>420</v>
      </c>
      <c r="D101" t="s">
        <v>421</v>
      </c>
      <c r="E101" t="s">
        <v>250</v>
      </c>
    </row>
    <row r="102" spans="1:5" x14ac:dyDescent="0.2">
      <c r="A102" s="3" t="s">
        <v>422</v>
      </c>
      <c r="B102" t="s">
        <v>108</v>
      </c>
      <c r="C102" t="s">
        <v>423</v>
      </c>
      <c r="D102" t="s">
        <v>424</v>
      </c>
      <c r="E102" t="s">
        <v>250</v>
      </c>
    </row>
    <row r="103" spans="1:5" x14ac:dyDescent="0.2">
      <c r="A103" s="3" t="s">
        <v>425</v>
      </c>
      <c r="B103" t="s">
        <v>108</v>
      </c>
      <c r="C103" t="s">
        <v>426</v>
      </c>
      <c r="D103" t="s">
        <v>26</v>
      </c>
      <c r="E103" t="s">
        <v>269</v>
      </c>
    </row>
    <row r="104" spans="1:5" x14ac:dyDescent="0.2">
      <c r="A104" s="3" t="s">
        <v>25</v>
      </c>
      <c r="B104" t="s">
        <v>14</v>
      </c>
      <c r="C104" t="s">
        <v>426</v>
      </c>
      <c r="D104" t="s">
        <v>26</v>
      </c>
      <c r="E104" t="s">
        <v>269</v>
      </c>
    </row>
    <row r="105" spans="1:5" x14ac:dyDescent="0.2">
      <c r="A105" s="3" t="s">
        <v>427</v>
      </c>
      <c r="B105" t="s">
        <v>108</v>
      </c>
      <c r="C105" t="s">
        <v>428</v>
      </c>
      <c r="D105" t="s">
        <v>429</v>
      </c>
      <c r="E105" t="s">
        <v>285</v>
      </c>
    </row>
    <row r="106" spans="1:5" x14ac:dyDescent="0.2">
      <c r="A106" s="3" t="s">
        <v>213</v>
      </c>
      <c r="B106" t="s">
        <v>14</v>
      </c>
      <c r="C106" t="s">
        <v>428</v>
      </c>
      <c r="D106" t="s">
        <v>429</v>
      </c>
      <c r="E106" t="s">
        <v>285</v>
      </c>
    </row>
    <row r="107" spans="1:5" x14ac:dyDescent="0.2">
      <c r="A107" s="3" t="s">
        <v>430</v>
      </c>
      <c r="B107" t="s">
        <v>108</v>
      </c>
      <c r="C107" t="s">
        <v>431</v>
      </c>
      <c r="D107" t="s">
        <v>432</v>
      </c>
      <c r="E107" t="s">
        <v>250</v>
      </c>
    </row>
    <row r="108" spans="1:5" x14ac:dyDescent="0.2">
      <c r="A108" s="3" t="s">
        <v>433</v>
      </c>
      <c r="B108" t="s">
        <v>108</v>
      </c>
      <c r="C108" t="s">
        <v>434</v>
      </c>
      <c r="D108" t="s">
        <v>435</v>
      </c>
      <c r="E108" t="s">
        <v>245</v>
      </c>
    </row>
    <row r="109" spans="1:5" x14ac:dyDescent="0.2">
      <c r="A109" s="3" t="s">
        <v>29</v>
      </c>
      <c r="B109" t="s">
        <v>14</v>
      </c>
      <c r="C109" t="s">
        <v>434</v>
      </c>
      <c r="D109" t="s">
        <v>435</v>
      </c>
      <c r="E109" t="s">
        <v>245</v>
      </c>
    </row>
    <row r="110" spans="1:5" x14ac:dyDescent="0.2">
      <c r="A110" s="3" t="s">
        <v>174</v>
      </c>
      <c r="B110" t="s">
        <v>108</v>
      </c>
      <c r="C110" t="s">
        <v>436</v>
      </c>
      <c r="D110" t="s">
        <v>175</v>
      </c>
      <c r="E110" t="s">
        <v>250</v>
      </c>
    </row>
    <row r="111" spans="1:5" x14ac:dyDescent="0.2">
      <c r="A111" s="3" t="s">
        <v>437</v>
      </c>
      <c r="B111" t="s">
        <v>14</v>
      </c>
      <c r="C111" t="s">
        <v>436</v>
      </c>
      <c r="D111" t="s">
        <v>175</v>
      </c>
      <c r="E111" t="s">
        <v>250</v>
      </c>
    </row>
    <row r="112" spans="1:5" x14ac:dyDescent="0.2">
      <c r="A112" s="3" t="s">
        <v>177</v>
      </c>
      <c r="B112" t="s">
        <v>108</v>
      </c>
      <c r="C112" t="s">
        <v>438</v>
      </c>
      <c r="D112" t="s">
        <v>178</v>
      </c>
      <c r="E112" t="s">
        <v>241</v>
      </c>
    </row>
    <row r="113" spans="1:5" x14ac:dyDescent="0.2">
      <c r="A113" s="3" t="s">
        <v>180</v>
      </c>
      <c r="B113" t="s">
        <v>108</v>
      </c>
      <c r="C113" t="s">
        <v>439</v>
      </c>
      <c r="D113" t="s">
        <v>181</v>
      </c>
      <c r="E113" t="s">
        <v>285</v>
      </c>
    </row>
    <row r="114" spans="1:5" x14ac:dyDescent="0.2">
      <c r="A114" s="3" t="s">
        <v>440</v>
      </c>
      <c r="B114" t="s">
        <v>108</v>
      </c>
      <c r="C114" t="s">
        <v>441</v>
      </c>
      <c r="D114" t="s">
        <v>442</v>
      </c>
      <c r="E114" t="s">
        <v>245</v>
      </c>
    </row>
    <row r="115" spans="1:5" x14ac:dyDescent="0.2">
      <c r="A115" s="3" t="s">
        <v>96</v>
      </c>
      <c r="B115" t="s">
        <v>14</v>
      </c>
      <c r="C115" t="s">
        <v>441</v>
      </c>
      <c r="D115" t="s">
        <v>442</v>
      </c>
      <c r="E115" t="s">
        <v>245</v>
      </c>
    </row>
    <row r="116" spans="1:5" x14ac:dyDescent="0.2">
      <c r="A116" s="3" t="s">
        <v>443</v>
      </c>
      <c r="B116" t="s">
        <v>108</v>
      </c>
      <c r="C116" t="s">
        <v>444</v>
      </c>
      <c r="D116" t="s">
        <v>445</v>
      </c>
      <c r="E116" t="s">
        <v>285</v>
      </c>
    </row>
    <row r="117" spans="1:5" x14ac:dyDescent="0.2">
      <c r="A117" s="3" t="s">
        <v>446</v>
      </c>
      <c r="B117" t="s">
        <v>108</v>
      </c>
      <c r="C117" t="s">
        <v>447</v>
      </c>
      <c r="D117" t="s">
        <v>448</v>
      </c>
      <c r="E117" t="s">
        <v>241</v>
      </c>
    </row>
    <row r="118" spans="1:5" x14ac:dyDescent="0.2">
      <c r="A118" s="3" t="s">
        <v>449</v>
      </c>
      <c r="B118" t="s">
        <v>14</v>
      </c>
      <c r="C118" t="s">
        <v>447</v>
      </c>
      <c r="D118" t="s">
        <v>448</v>
      </c>
      <c r="E118" t="s">
        <v>241</v>
      </c>
    </row>
    <row r="119" spans="1:5" x14ac:dyDescent="0.2">
      <c r="A119" s="3" t="s">
        <v>450</v>
      </c>
      <c r="B119" t="s">
        <v>108</v>
      </c>
      <c r="C119" t="s">
        <v>451</v>
      </c>
      <c r="D119" t="s">
        <v>452</v>
      </c>
      <c r="E119" t="s">
        <v>250</v>
      </c>
    </row>
    <row r="120" spans="1:5" x14ac:dyDescent="0.2">
      <c r="A120" s="3" t="s">
        <v>453</v>
      </c>
      <c r="B120" t="s">
        <v>108</v>
      </c>
      <c r="C120" t="s">
        <v>454</v>
      </c>
      <c r="D120" t="s">
        <v>455</v>
      </c>
      <c r="E120" t="s">
        <v>245</v>
      </c>
    </row>
    <row r="121" spans="1:5" x14ac:dyDescent="0.2">
      <c r="A121" s="3" t="s">
        <v>456</v>
      </c>
      <c r="B121" t="s">
        <v>14</v>
      </c>
      <c r="C121" t="s">
        <v>454</v>
      </c>
      <c r="D121" t="s">
        <v>455</v>
      </c>
      <c r="E121" t="s">
        <v>245</v>
      </c>
    </row>
    <row r="122" spans="1:5" x14ac:dyDescent="0.2">
      <c r="A122" s="3" t="s">
        <v>457</v>
      </c>
      <c r="B122" t="s">
        <v>108</v>
      </c>
      <c r="C122" t="s">
        <v>458</v>
      </c>
      <c r="D122" t="s">
        <v>459</v>
      </c>
      <c r="E122" t="s">
        <v>245</v>
      </c>
    </row>
    <row r="123" spans="1:5" x14ac:dyDescent="0.2">
      <c r="A123" s="3" t="s">
        <v>460</v>
      </c>
      <c r="B123" t="s">
        <v>108</v>
      </c>
      <c r="C123" t="s">
        <v>461</v>
      </c>
      <c r="D123" t="s">
        <v>462</v>
      </c>
      <c r="E123" t="s">
        <v>269</v>
      </c>
    </row>
    <row r="124" spans="1:5" x14ac:dyDescent="0.2">
      <c r="A124" s="3" t="s">
        <v>463</v>
      </c>
      <c r="B124" t="s">
        <v>14</v>
      </c>
      <c r="C124" t="s">
        <v>461</v>
      </c>
      <c r="D124" t="s">
        <v>462</v>
      </c>
      <c r="E124" t="s">
        <v>269</v>
      </c>
    </row>
    <row r="125" spans="1:5" x14ac:dyDescent="0.2">
      <c r="A125" s="3" t="s">
        <v>464</v>
      </c>
      <c r="B125" t="s">
        <v>108</v>
      </c>
      <c r="C125" t="s">
        <v>465</v>
      </c>
      <c r="D125" t="s">
        <v>466</v>
      </c>
      <c r="E125" t="s">
        <v>245</v>
      </c>
    </row>
    <row r="126" spans="1:5" x14ac:dyDescent="0.2">
      <c r="A126" s="3" t="s">
        <v>467</v>
      </c>
      <c r="B126" t="s">
        <v>108</v>
      </c>
      <c r="C126" t="s">
        <v>468</v>
      </c>
      <c r="D126" t="s">
        <v>469</v>
      </c>
      <c r="E126" t="s">
        <v>241</v>
      </c>
    </row>
    <row r="127" spans="1:5" x14ac:dyDescent="0.2">
      <c r="A127" s="3" t="s">
        <v>470</v>
      </c>
      <c r="B127" t="s">
        <v>108</v>
      </c>
      <c r="C127" t="s">
        <v>471</v>
      </c>
      <c r="D127" t="s">
        <v>472</v>
      </c>
      <c r="E127" t="s">
        <v>250</v>
      </c>
    </row>
    <row r="128" spans="1:5" x14ac:dyDescent="0.2">
      <c r="A128" s="3" t="s">
        <v>473</v>
      </c>
      <c r="B128" t="s">
        <v>108</v>
      </c>
      <c r="C128" t="s">
        <v>474</v>
      </c>
      <c r="D128" t="s">
        <v>475</v>
      </c>
      <c r="E128" t="s">
        <v>269</v>
      </c>
    </row>
    <row r="129" spans="1:5" x14ac:dyDescent="0.2">
      <c r="A129" s="3" t="s">
        <v>184</v>
      </c>
      <c r="B129" t="s">
        <v>108</v>
      </c>
      <c r="C129" t="s">
        <v>476</v>
      </c>
      <c r="D129" t="s">
        <v>185</v>
      </c>
      <c r="E129" t="s">
        <v>250</v>
      </c>
    </row>
    <row r="130" spans="1:5" x14ac:dyDescent="0.2">
      <c r="A130" s="3" t="s">
        <v>477</v>
      </c>
      <c r="B130" t="s">
        <v>108</v>
      </c>
      <c r="C130" t="s">
        <v>478</v>
      </c>
      <c r="D130" t="s">
        <v>479</v>
      </c>
      <c r="E130" t="s">
        <v>285</v>
      </c>
    </row>
    <row r="131" spans="1:5" x14ac:dyDescent="0.2">
      <c r="A131" s="3" t="s">
        <v>480</v>
      </c>
      <c r="B131" t="s">
        <v>14</v>
      </c>
      <c r="C131" t="s">
        <v>481</v>
      </c>
      <c r="D131" t="s">
        <v>482</v>
      </c>
      <c r="E131" t="s">
        <v>269</v>
      </c>
    </row>
    <row r="132" spans="1:5" x14ac:dyDescent="0.2">
      <c r="A132" s="3" t="s">
        <v>483</v>
      </c>
      <c r="B132" t="s">
        <v>14</v>
      </c>
      <c r="C132" t="s">
        <v>484</v>
      </c>
      <c r="D132" t="s">
        <v>485</v>
      </c>
      <c r="E132" t="s">
        <v>269</v>
      </c>
    </row>
    <row r="133" spans="1:5" x14ac:dyDescent="0.2">
      <c r="A133" s="3" t="s">
        <v>486</v>
      </c>
      <c r="B133" t="s">
        <v>14</v>
      </c>
      <c r="C133" t="s">
        <v>487</v>
      </c>
      <c r="D133" t="s">
        <v>488</v>
      </c>
      <c r="E133" t="s">
        <v>250</v>
      </c>
    </row>
    <row r="134" spans="1:5" x14ac:dyDescent="0.2">
      <c r="A134" s="3" t="s">
        <v>489</v>
      </c>
      <c r="B134" t="s">
        <v>14</v>
      </c>
      <c r="C134" t="s">
        <v>490</v>
      </c>
      <c r="D134" t="s">
        <v>491</v>
      </c>
      <c r="E134" t="s">
        <v>285</v>
      </c>
    </row>
    <row r="135" spans="1:5" x14ac:dyDescent="0.2">
      <c r="A135" s="3" t="s">
        <v>492</v>
      </c>
      <c r="B135" t="s">
        <v>14</v>
      </c>
      <c r="C135" t="s">
        <v>493</v>
      </c>
      <c r="D135" t="s">
        <v>494</v>
      </c>
      <c r="E135" t="s">
        <v>250</v>
      </c>
    </row>
    <row r="136" spans="1:5" x14ac:dyDescent="0.2">
      <c r="A136" s="3" t="s">
        <v>50</v>
      </c>
      <c r="B136" t="s">
        <v>14</v>
      </c>
      <c r="C136" t="s">
        <v>495</v>
      </c>
      <c r="D136" t="s">
        <v>51</v>
      </c>
      <c r="E136" t="s">
        <v>250</v>
      </c>
    </row>
    <row r="137" spans="1:5" x14ac:dyDescent="0.2">
      <c r="A137" s="3" t="s">
        <v>496</v>
      </c>
      <c r="B137" t="s">
        <v>14</v>
      </c>
      <c r="C137" t="s">
        <v>497</v>
      </c>
      <c r="D137" t="s">
        <v>498</v>
      </c>
      <c r="E137" t="s">
        <v>250</v>
      </c>
    </row>
    <row r="138" spans="1:5" x14ac:dyDescent="0.2">
      <c r="A138" s="3" t="s">
        <v>499</v>
      </c>
      <c r="B138" t="s">
        <v>14</v>
      </c>
      <c r="C138" t="s">
        <v>500</v>
      </c>
      <c r="D138" t="s">
        <v>501</v>
      </c>
      <c r="E138" t="s">
        <v>250</v>
      </c>
    </row>
    <row r="139" spans="1:5" x14ac:dyDescent="0.2">
      <c r="A139" s="3" t="s">
        <v>196</v>
      </c>
      <c r="B139" t="s">
        <v>14</v>
      </c>
      <c r="C139" t="s">
        <v>502</v>
      </c>
      <c r="D139" t="s">
        <v>197</v>
      </c>
      <c r="E139" t="s">
        <v>269</v>
      </c>
    </row>
    <row r="140" spans="1:5" x14ac:dyDescent="0.2">
      <c r="A140" s="3" t="s">
        <v>503</v>
      </c>
      <c r="B140" t="s">
        <v>14</v>
      </c>
      <c r="C140" t="s">
        <v>504</v>
      </c>
      <c r="D140" t="s">
        <v>505</v>
      </c>
      <c r="E140" t="s">
        <v>245</v>
      </c>
    </row>
    <row r="141" spans="1:5" x14ac:dyDescent="0.2">
      <c r="A141" s="3" t="s">
        <v>205</v>
      </c>
      <c r="B141" t="s">
        <v>14</v>
      </c>
      <c r="C141" t="s">
        <v>506</v>
      </c>
      <c r="D141" t="s">
        <v>206</v>
      </c>
      <c r="E141" t="s">
        <v>241</v>
      </c>
    </row>
    <row r="142" spans="1:5" x14ac:dyDescent="0.2">
      <c r="A142" s="3" t="s">
        <v>208</v>
      </c>
      <c r="B142" t="s">
        <v>14</v>
      </c>
      <c r="C142" t="s">
        <v>507</v>
      </c>
      <c r="D142" t="s">
        <v>209</v>
      </c>
      <c r="E142" t="s">
        <v>269</v>
      </c>
    </row>
    <row r="143" spans="1:5" x14ac:dyDescent="0.2">
      <c r="A143" s="3" t="s">
        <v>508</v>
      </c>
      <c r="B143" t="s">
        <v>14</v>
      </c>
      <c r="C143" t="s">
        <v>509</v>
      </c>
      <c r="D143" t="s">
        <v>510</v>
      </c>
      <c r="E143" t="s">
        <v>269</v>
      </c>
    </row>
    <row r="144" spans="1:5" x14ac:dyDescent="0.2">
      <c r="A144" s="3" t="s">
        <v>511</v>
      </c>
      <c r="B144" t="s">
        <v>14</v>
      </c>
      <c r="C144" t="s">
        <v>512</v>
      </c>
      <c r="D144" t="s">
        <v>513</v>
      </c>
      <c r="E144" t="s">
        <v>245</v>
      </c>
    </row>
    <row r="145" spans="1:5" x14ac:dyDescent="0.2">
      <c r="A145" s="3" t="s">
        <v>62</v>
      </c>
      <c r="B145" t="s">
        <v>14</v>
      </c>
      <c r="C145" t="s">
        <v>514</v>
      </c>
      <c r="D145" t="s">
        <v>63</v>
      </c>
      <c r="E145" t="s">
        <v>245</v>
      </c>
    </row>
    <row r="146" spans="1:5" x14ac:dyDescent="0.2">
      <c r="A146" s="3" t="s">
        <v>515</v>
      </c>
      <c r="B146" t="s">
        <v>14</v>
      </c>
      <c r="C146" t="s">
        <v>516</v>
      </c>
      <c r="D146" t="s">
        <v>517</v>
      </c>
      <c r="E146" t="s">
        <v>250</v>
      </c>
    </row>
    <row r="147" spans="1:5" x14ac:dyDescent="0.2">
      <c r="A147" s="3" t="s">
        <v>518</v>
      </c>
      <c r="B147" t="s">
        <v>14</v>
      </c>
      <c r="C147" t="s">
        <v>519</v>
      </c>
      <c r="D147" t="s">
        <v>520</v>
      </c>
      <c r="E147" t="s">
        <v>269</v>
      </c>
    </row>
    <row r="148" spans="1:5" x14ac:dyDescent="0.2">
      <c r="A148" s="3" t="s">
        <v>521</v>
      </c>
      <c r="B148" t="s">
        <v>14</v>
      </c>
      <c r="C148" t="s">
        <v>522</v>
      </c>
      <c r="D148" t="s">
        <v>523</v>
      </c>
      <c r="E148" t="s">
        <v>269</v>
      </c>
    </row>
    <row r="149" spans="1:5" x14ac:dyDescent="0.2">
      <c r="A149" s="3" t="s">
        <v>524</v>
      </c>
      <c r="B149" t="s">
        <v>14</v>
      </c>
      <c r="C149" t="s">
        <v>525</v>
      </c>
      <c r="D149" t="s">
        <v>526</v>
      </c>
      <c r="E149" t="s">
        <v>285</v>
      </c>
    </row>
    <row r="150" spans="1:5" x14ac:dyDescent="0.2">
      <c r="A150" s="3" t="s">
        <v>65</v>
      </c>
      <c r="B150" t="s">
        <v>14</v>
      </c>
      <c r="C150" t="s">
        <v>527</v>
      </c>
      <c r="D150" t="s">
        <v>66</v>
      </c>
      <c r="E150" t="s">
        <v>241</v>
      </c>
    </row>
    <row r="151" spans="1:5" x14ac:dyDescent="0.2">
      <c r="A151" s="3" t="s">
        <v>528</v>
      </c>
      <c r="B151" t="s">
        <v>14</v>
      </c>
      <c r="C151" t="s">
        <v>529</v>
      </c>
      <c r="D151" t="s">
        <v>530</v>
      </c>
      <c r="E151" t="s">
        <v>241</v>
      </c>
    </row>
    <row r="152" spans="1:5" x14ac:dyDescent="0.2">
      <c r="A152" s="3" t="s">
        <v>531</v>
      </c>
      <c r="B152" t="s">
        <v>14</v>
      </c>
      <c r="C152" t="s">
        <v>532</v>
      </c>
      <c r="D152" t="s">
        <v>533</v>
      </c>
      <c r="E152" t="s">
        <v>250</v>
      </c>
    </row>
    <row r="153" spans="1:5" x14ac:dyDescent="0.2">
      <c r="A153" s="3" t="s">
        <v>68</v>
      </c>
      <c r="B153" t="s">
        <v>14</v>
      </c>
      <c r="C153" t="s">
        <v>534</v>
      </c>
      <c r="D153" t="s">
        <v>69</v>
      </c>
      <c r="E153" t="s">
        <v>241</v>
      </c>
    </row>
    <row r="154" spans="1:5" x14ac:dyDescent="0.2">
      <c r="A154" s="3" t="s">
        <v>71</v>
      </c>
      <c r="B154" t="s">
        <v>14</v>
      </c>
      <c r="C154" t="s">
        <v>535</v>
      </c>
      <c r="D154" t="s">
        <v>72</v>
      </c>
      <c r="E154" t="s">
        <v>245</v>
      </c>
    </row>
    <row r="155" spans="1:5" x14ac:dyDescent="0.2">
      <c r="A155" s="3" t="s">
        <v>75</v>
      </c>
      <c r="B155" t="s">
        <v>14</v>
      </c>
      <c r="C155" t="s">
        <v>536</v>
      </c>
      <c r="D155" t="s">
        <v>76</v>
      </c>
      <c r="E155" t="s">
        <v>285</v>
      </c>
    </row>
    <row r="156" spans="1:5" x14ac:dyDescent="0.2">
      <c r="A156" s="3" t="s">
        <v>78</v>
      </c>
      <c r="B156" t="s">
        <v>14</v>
      </c>
      <c r="C156" t="s">
        <v>537</v>
      </c>
      <c r="D156" t="s">
        <v>79</v>
      </c>
      <c r="E156" t="s">
        <v>250</v>
      </c>
    </row>
    <row r="157" spans="1:5" x14ac:dyDescent="0.2">
      <c r="A157" s="3" t="s">
        <v>81</v>
      </c>
      <c r="B157" t="s">
        <v>14</v>
      </c>
      <c r="C157" t="s">
        <v>538</v>
      </c>
      <c r="D157" t="s">
        <v>82</v>
      </c>
      <c r="E157" t="s">
        <v>241</v>
      </c>
    </row>
    <row r="158" spans="1:5" x14ac:dyDescent="0.2">
      <c r="A158" s="3" t="s">
        <v>84</v>
      </c>
      <c r="B158" t="s">
        <v>14</v>
      </c>
      <c r="C158" t="s">
        <v>539</v>
      </c>
      <c r="D158" t="s">
        <v>85</v>
      </c>
      <c r="E158" t="s">
        <v>269</v>
      </c>
    </row>
    <row r="159" spans="1:5" x14ac:dyDescent="0.2">
      <c r="A159" s="3" t="s">
        <v>540</v>
      </c>
      <c r="B159" t="s">
        <v>14</v>
      </c>
      <c r="C159" t="s">
        <v>541</v>
      </c>
      <c r="D159" t="s">
        <v>542</v>
      </c>
      <c r="E159" t="s">
        <v>250</v>
      </c>
    </row>
    <row r="160" spans="1:5" x14ac:dyDescent="0.2">
      <c r="A160" s="3" t="s">
        <v>543</v>
      </c>
      <c r="B160" t="s">
        <v>14</v>
      </c>
      <c r="C160" t="s">
        <v>544</v>
      </c>
      <c r="D160" t="s">
        <v>545</v>
      </c>
      <c r="E160" t="s">
        <v>285</v>
      </c>
    </row>
    <row r="161" spans="1:5" x14ac:dyDescent="0.2">
      <c r="A161" s="3" t="s">
        <v>93</v>
      </c>
      <c r="B161" t="s">
        <v>14</v>
      </c>
      <c r="C161" t="s">
        <v>546</v>
      </c>
      <c r="D161" t="s">
        <v>94</v>
      </c>
      <c r="E161" t="s">
        <v>241</v>
      </c>
    </row>
    <row r="162" spans="1:5" x14ac:dyDescent="0.2">
      <c r="A162" s="3" t="s">
        <v>99</v>
      </c>
      <c r="B162" t="s">
        <v>14</v>
      </c>
      <c r="C162" t="s">
        <v>547</v>
      </c>
      <c r="D162" t="s">
        <v>100</v>
      </c>
      <c r="E162" t="s">
        <v>250</v>
      </c>
    </row>
    <row r="163" spans="1:5" x14ac:dyDescent="0.2">
      <c r="A163" s="3" t="s">
        <v>548</v>
      </c>
      <c r="B163" t="s">
        <v>14</v>
      </c>
      <c r="C163" t="s">
        <v>549</v>
      </c>
      <c r="D163" t="s">
        <v>550</v>
      </c>
      <c r="E163" t="s">
        <v>269</v>
      </c>
    </row>
    <row r="164" spans="1:5" x14ac:dyDescent="0.2">
      <c r="A164" s="3" t="s">
        <v>551</v>
      </c>
      <c r="B164" t="s">
        <v>14</v>
      </c>
      <c r="C164" t="s">
        <v>552</v>
      </c>
      <c r="D164" t="s">
        <v>553</v>
      </c>
      <c r="E164" t="s">
        <v>241</v>
      </c>
    </row>
    <row r="165" spans="1:5" x14ac:dyDescent="0.2">
      <c r="A165" s="3" t="s">
        <v>554</v>
      </c>
      <c r="B165" t="s">
        <v>14</v>
      </c>
      <c r="C165" t="s">
        <v>555</v>
      </c>
      <c r="D165" t="s">
        <v>556</v>
      </c>
      <c r="E165" t="s">
        <v>269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Dashboard</vt:lpstr>
      <vt:lpstr>Tickets</vt:lpstr>
      <vt:lpstr>Lists</vt:lpstr>
      <vt:lpstr>About</vt:lpstr>
      <vt:lpstr>Suppliers</vt:lpstr>
      <vt:lpstr>lstPriority</vt:lpstr>
      <vt:lpstr>lstStatus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nurdanikbals5@gmail.com</cp:lastModifiedBy>
  <dcterms:created xsi:type="dcterms:W3CDTF">2026-10-04T22:37:47Z</dcterms:created>
  <dcterms:modified xsi:type="dcterms:W3CDTF">2026-10-05T20:18:17Z</dcterms:modified>
</cp:coreProperties>
</file>