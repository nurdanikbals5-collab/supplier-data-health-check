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BC202A7F-62A9-7843-B1F9-00DDEC1E48A5}" xr6:coauthVersionLast="47" xr6:coauthVersionMax="47" xr10:uidLastSave="{00000000-0000-0000-0000-000000000000}"/>
  <bookViews>
    <workbookView xWindow="0" yWindow="500" windowWidth="28800" windowHeight="16020" activeTab="1" xr2:uid="{00000000-000D-0000-FFFF-FFFF00000000}"/>
  </bookViews>
  <sheets>
    <sheet name="Dashboard" sheetId="5" r:id="rId1"/>
    <sheet name="Tickets" sheetId="1" r:id="rId2"/>
    <sheet name="Lists" sheetId="3" r:id="rId3"/>
    <sheet name="About" sheetId="2" r:id="rId4"/>
    <sheet name="Suppliers" sheetId="4" r:id="rId5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O2" i="1"/>
  <c r="Q2" i="1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B5" i="5" l="1"/>
</calcChain>
</file>

<file path=xl/sharedStrings.xml><?xml version="1.0" encoding="utf-8"?>
<sst xmlns="http://schemas.openxmlformats.org/spreadsheetml/2006/main" count="1519" uniqueCount="564">
  <si>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</si>
  <si>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</si>
  <si>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</si>
  <si>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</si>
  <si>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</si>
  <si>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</si>
  <si>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</si>
  <si>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</si>
  <si>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</si>
  <si>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</si>
  <si>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</si>
  <si>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</si>
  <si>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</si>
  <si>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</si>
  <si>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</si>
  <si>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</si>
  <si>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</si>
  <si>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</si>
  <si>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</si>
  <si>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</si>
  <si>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</si>
  <si>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</si>
  <si>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</si>
  <si>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</si>
  <si>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</si>
  <si>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</si>
  <si>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</si>
  <si>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</si>
  <si>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</si>
  <si>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</si>
  <si>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</si>
  <si>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</si>
  <si>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</si>
  <si>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</si>
  <si>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</si>
  <si>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</si>
  <si>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</si>
  <si>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</si>
  <si>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</si>
  <si>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</si>
  <si>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</si>
  <si>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</si>
  <si>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</si>
  <si>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</si>
  <si>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</si>
  <si>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</si>
  <si>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</si>
  <si>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</si>
  <si>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</si>
  <si>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</si>
  <si>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</si>
  <si>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</si>
  <si>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</si>
  <si>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</si>
  <si>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</si>
  <si>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</si>
  <si>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</si>
  <si>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</si>
  <si>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</si>
  <si>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</si>
  <si>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</si>
  <si>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</si>
  <si>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</si>
  <si>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</si>
  <si>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</si>
  <si>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</si>
  <si>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</si>
  <si>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</si>
  <si>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</si>
  <si>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</si>
  <si>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</si>
  <si>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</si>
  <si>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</si>
  <si>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</si>
  <si>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</si>
  <si>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</si>
  <si>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</si>
  <si>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</si>
  <si>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</si>
  <si>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</si>
  <si>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</si>
  <si>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</si>
  <si>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</si>
  <si>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</si>
  <si>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</si>
  <si>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</si>
  <si>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</si>
  <si>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</si>
  <si>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</si>
  <si>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</si>
  <si>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</si>
  <si>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</si>
  <si>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</si>
  <si>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</si>
  <si>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</si>
  <si>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</si>
  <si>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</si>
  <si>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</si>
  <si>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</si>
  <si>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</si>
  <si>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</si>
  <si>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</si>
  <si>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</si>
  <si>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</si>
  <si>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</si>
  <si>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</si>
  <si>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</si>
  <si>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</si>
  <si>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</si>
  <si>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</si>
  <si>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</si>
  <si>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</si>
  <si>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</si>
  <si>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</si>
  <si>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</si>
  <si>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</si>
  <si>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</si>
  <si>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</si>
  <si>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</si>
  <si>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</si>
  <si>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</si>
  <si>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</si>
  <si>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</si>
  <si>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</si>
  <si>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</si>
  <si>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</si>
  <si>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</si>
  <si>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</si>
  <si>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</si>
  <si>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</si>
  <si>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</si>
  <si>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</si>
  <si>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</si>
  <si>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</si>
  <si>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</si>
  <si>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</si>
  <si>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</si>
  <si>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</si>
  <si>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</si>
  <si>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</si>
  <si>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</si>
  <si>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</si>
  <si>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</si>
  <si>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</si>
  <si>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</si>
  <si>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</si>
  <si>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</si>
  <si>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</si>
  <si>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</si>
  <si>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</si>
  <si>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</si>
  <si>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</si>
  <si>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</si>
  <si>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</si>
  <si>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</si>
  <si>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</si>
  <si>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</si>
  <si>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</si>
  <si>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</si>
  <si>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</si>
  <si>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</si>
  <si>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</si>
  <si>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</si>
  <si>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</si>
  <si>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</si>
  <si>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</si>
  <si>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</si>
  <si>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</si>
  <si>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</si>
  <si>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</si>
  <si>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</si>
  <si>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</si>
  <si>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</si>
  <si>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</si>
  <si>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</si>
  <si>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</si>
  <si>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</si>
  <si>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</si>
  <si>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</si>
  <si>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</si>
  <si>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</si>
  <si>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</si>
  <si>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</si>
  <si>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</si>
  <si>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</si>
  <si>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</si>
  <si>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</si>
  <si>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</si>
  <si>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</si>
  <si>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</si>
  <si>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</si>
  <si>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</si>
  <si>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</si>
  <si>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</si>
  <si>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</si>
  <si>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</si>
  <si>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</si>
  <si>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</si>
  <si>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</si>
  <si>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</si>
  <si>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</si>
  <si>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</si>
  <si>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</si>
  <si>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</si>
  <si>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</si>
  <si>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</si>
  <si>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</si>
  <si>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</si>
  <si>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</si>
  <si>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</si>
  <si>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</si>
  <si>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</si>
  <si>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</si>
  <si>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</si>
  <si>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</si>
  <si>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</si>
  <si>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</si>
  <si>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</si>
  <si>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</si>
  <si>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</si>
  <si>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</si>
  <si>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</si>
  <si>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</si>
  <si>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</si>
  <si>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</si>
  <si>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</si>
  <si>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</si>
  <si>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</si>
  <si>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</si>
  <si>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</si>
  <si>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</si>
  <si>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</si>
  <si>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</si>
  <si>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</si>
  <si>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</si>
  <si>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</si>
  <si>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</si>
  <si>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</si>
  <si>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</si>
  <si>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</si>
  <si>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</si>
  <si>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</si>
  <si>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</si>
  <si>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</si>
  <si>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</si>
  <si>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</si>
  <si>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</si>
  <si>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</si>
  <si>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</si>
  <si>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</si>
  <si>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</si>
  <si>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</si>
  <si>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</si>
  <si>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</si>
  <si>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</si>
  <si>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</si>
  <si>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</si>
  <si>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</si>
  <si>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</si>
  <si>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</si>
  <si>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</si>
  <si>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</si>
  <si>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</si>
  <si>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</si>
  <si>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</si>
  <si>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</si>
  <si>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</si>
  <si>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</si>
  <si>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</si>
  <si>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</si>
  <si>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</si>
  <si>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</si>
  <si>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</si>
  <si>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</si>
  <si>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</si>
  <si>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</si>
  <si>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</si>
  <si>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</si>
  <si>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</si>
  <si>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</si>
  <si>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</si>
  <si>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</si>
  <si>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</si>
  <si>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</si>
  <si>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</si>
  <si>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</si>
  <si>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</si>
  <si>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</si>
  <si>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</si>
  <si>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</si>
  <si>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</si>
  <si>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</si>
  <si>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</si>
  <si>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</si>
  <si>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</si>
  <si>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</si>
  <si>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</si>
  <si>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</si>
  <si>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</si>
  <si>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</si>
  <si>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</si>
  <si>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</si>
  <si>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</si>
  <si>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</si>
  <si>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</si>
  <si>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</si>
  <si>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</si>
  <si>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</si>
  <si>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</si>
  <si>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</si>
  <si>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</si>
  <si>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</si>
  <si>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</si>
  <si>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</si>
  <si>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</si>
  <si>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</si>
  <si>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</si>
  <si>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</si>
  <si>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</si>
  <si>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</si>
  <si>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</si>
  <si>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</si>
  <si>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</si>
  <si>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</si>
  <si>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</si>
  <si>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</si>
  <si>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</si>
  <si>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</si>
  <si>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</si>
  <si>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</si>
  <si>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</si>
  <si>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</si>
  <si>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</si>
  <si>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</si>
  <si>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</si>
  <si>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</si>
  <si>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</si>
  <si>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</si>
  <si>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</si>
  <si>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</si>
  <si>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</si>
  <si>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</si>
  <si>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</si>
  <si>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</si>
  <si>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</si>
  <si>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</si>
  <si>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</si>
  <si>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</si>
  <si>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</si>
  <si>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</si>
  <si>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</si>
  <si>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</si>
  <si>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</si>
  <si>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</si>
  <si>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</si>
  <si>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</si>
  <si>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</si>
  <si>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</si>
  <si>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</si>
  <si>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</si>
  <si>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</si>
  <si>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</si>
  <si>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</si>
  <si>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</si>
  <si>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</si>
  <si>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</si>
  <si>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</si>
  <si>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</si>
  <si>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</si>
  <si>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</si>
  <si>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</si>
  <si>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</si>
  <si>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</si>
  <si>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</si>
  <si>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</si>
  <si>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</si>
  <si>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</si>
  <si>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</si>
  <si>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</si>
  <si>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</si>
  <si>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</si>
  <si>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</si>
  <si>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</si>
  <si>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</si>
  <si>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</si>
  <si>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</si>
  <si>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</si>
  <si>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</si>
  <si>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</si>
  <si>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</si>
  <si>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</si>
  <si>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</si>
  <si>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</si>
  <si>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</si>
  <si>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</si>
  <si>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</si>
  <si>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</si>
  <si>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</si>
  <si>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</si>
  <si>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</si>
  <si>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</si>
  <si>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</si>
  <si>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</si>
  <si>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</si>
  <si>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</si>
  <si>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</si>
  <si>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</si>
  <si>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</si>
  <si>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</si>
  <si>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</si>
  <si>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</si>
  <si>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</si>
  <si>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</si>
  <si>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</si>
  <si>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</si>
  <si>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</si>
  <si>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</si>
  <si>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</si>
  <si>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</si>
  <si>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</si>
  <si>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</si>
  <si>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</si>
  <si>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</si>
  <si>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</si>
  <si>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</si>
  <si>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</si>
  <si>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</si>
  <si>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</si>
  <si>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</si>
  <si>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</si>
  <si>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</si>
  <si>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</si>
  <si>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</si>
  <si>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</si>
  <si>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</si>
  <si>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</si>
  <si>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</si>
  <si>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</si>
  <si>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</si>
  <si>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</si>
  <si>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</si>
  <si>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</si>
  <si>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</si>
  <si>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</si>
  <si>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</si>
  <si>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</si>
  <si>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</si>
  <si>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</si>
  <si>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</si>
  <si>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</si>
  <si>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</si>
  <si>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</si>
  <si>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</si>
  <si>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</si>
  <si>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</si>
  <si>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</si>
  <si>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</si>
  <si>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</si>
  <si>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</si>
  <si>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</si>
  <si>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</si>
  <si>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</si>
  <si>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</si>
  <si>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</si>
  <si>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</si>
  <si>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</si>
  <si>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</si>
  <si>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</si>
  <si>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</si>
  <si>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</si>
  <si>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</si>
  <si>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</si>
  <si>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</si>
  <si>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</si>
  <si>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</si>
  <si>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</si>
  <si>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</si>
  <si>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</si>
  <si>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</si>
  <si>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</si>
  <si>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</si>
  <si>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</si>
  <si>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</si>
  <si>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</si>
  <si>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</si>
  <si>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</si>
  <si>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</si>
  <si>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</si>
  <si>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</si>
  <si>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</si>
  <si>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</si>
  <si>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</si>
  <si>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</si>
  <si>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</si>
  <si>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</si>
  <si>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</si>
  <si>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</si>
  <si>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</si>
  <si>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</si>
  <si>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</si>
  <si>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</si>
  <si>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</si>
  <si>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</si>
  <si>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</si>
  <si>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</si>
  <si>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</si>
  <si>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</si>
  <si>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</si>
  <si>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</si>
  <si>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</si>
  <si>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</si>
  <si>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</si>
  <si>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</si>
  <si>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</si>
  <si>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</si>
  <si>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</si>
  <si>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</si>
  <si>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</si>
  <si>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</si>
  <si>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</si>
  <si>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</si>
  <si>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</si>
  <si>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</si>
  <si>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</si>
  <si>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</si>
  <si>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</si>
  <si>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</si>
  <si>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</si>
  <si>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</si>
  <si>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</si>
  <si>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</si>
  <si>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</si>
  <si>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</si>
  <si>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</si>
  <si>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</si>
  <si>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</si>
  <si>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</si>
  <si>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</si>
  <si>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</si>
  <si>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</si>
  <si>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</si>
  <si>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</si>
  <si>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</si>
  <si>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</si>
  <si>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</si>
  <si>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</si>
  <si>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</si>
  <si>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</si>
  <si>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</si>
  <si>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</si>
  <si>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</si>
  <si>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</si>
  <si>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</si>
  <si>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</si>
  <si>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</si>
  <si>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</si>
  <si>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</si>
  <si>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Age (days)</t>
  </si>
  <si>
    <t>SLA (days)</t>
  </si>
  <si>
    <t>SLA Status</t>
  </si>
  <si>
    <t>BU2 Ticket Dashboard</t>
  </si>
  <si>
    <t>Total tickets</t>
  </si>
  <si>
    <t>Open tickets</t>
  </si>
  <si>
    <t>Open &amp; SLA breached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</si>
</sst>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Q61" totalsRowShown="0" headerRowDxfId="9">
  <autoFilter ref="A1:Q61" xr:uid="{CA4F919C-D01A-DA41-A42E-110E3B4395C0}"/>
  <tableColumns count="17">
    <tableColumn id="1" xr3:uid="{BE142A8F-F154-1044-B387-8577F406E53F}" name="Ticket ID"/>
    <tableColumn id="2" xr3:uid="{D3303C1F-3E66-9847-9F7D-1BAB0A591DCB}" name="Created On" dataDxfId="8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7"/>
    <tableColumn id="14" xr3:uid="{5E7D163A-759D-984D-A1ED-C1B920E4AFE3}" name="Segment" dataDxfId="6">
      <calculatedColumnFormula>_xlfn.XLOOKUP(tblTickets[[#This Row],[Record ID]],Suppliers!A:A,Suppliers!E:E,"Not found")</calculatedColumnFormula>
    </tableColumn>
    <tableColumn id="15" xr3:uid="{7A46C142-8722-F24D-90F5-98A7C1A349EE}" name="Age (days)" dataDxfId="5">
      <calculatedColumnFormula>IF(tblTickets[[#This Row],[Closed On]]="",TODAY()-tblTickets[[#This Row],[Created On]],tblTickets[[#This Row],[Closed On]]-tblTickets[[#This Row],[Created On]])</calculatedColumnFormula>
    </tableColumn>
    <tableColumn id="16" xr3:uid="{4846F765-EDED-4B44-9C2B-4A17E4417593}" name="SLA (days)" dataDxfId="4">
      <calculatedColumnFormula>_xlfn.XLOOKUP(tblTickets[[#This Row],[Priority]],Lists!B:B,Lists!C:C)</calculatedColumnFormula>
    </tableColumn>
    <tableColumn id="17" xr3:uid="{AD8149A7-3507-6C4D-829C-AB97FE40A20A}" name="SLA Status" dataDxfId="3">
      <calculatedColumnFormula>IF(tblTickets[[#This Row],[Age (days)]]&gt;tblTickets[[#This Row],[SLA (days)]],"Breached","OK")</calculatedColumnFormula>
    </tableColumn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9E95-5F09-DC49-B9BC-77DD19A10A22}">
  <dimension ref="A1:B5"/>
  <sheetViews>
    <sheetView workbookViewId="0">
      <selection activeCell="C11" sqref="C11"/>
    </sheetView>
  </sheetViews>
  <sheetFormatPr baseColWidth="10" defaultRowHeight="15" x14ac:dyDescent="0.2"/>
  <cols>
    <col min="1" max="1" width="17.83203125" customWidth="1"/>
  </cols>
  <sheetData>
    <row r="1" spans="1:2" x14ac:dyDescent="0.2">
      <c r="A1" t="s">
        <v>560</v>
      </c>
    </row>
    <row r="3" spans="1:2" x14ac:dyDescent="0.2">
      <c r="A3" t="s">
        <v>561</v>
      </c>
      <c r="B3">
        <f>COUNTA(tblTickets[Ticket ID])</f>
        <v>60</v>
      </c>
    </row>
    <row r="4" spans="1:2" x14ac:dyDescent="0.2">
      <c r="A4" t="s">
        <v>562</v>
      </c>
      <c r="B4">
        <f>COUNTIF(tblTickets[Status],"&lt;&gt;Closed")</f>
        <v>39</v>
      </c>
    </row>
    <row r="5" spans="1:2" x14ac:dyDescent="0.2">
      <c r="A5" t="s">
        <v>563</v>
      </c>
      <c r="B5">
        <f ca="1">COUNTIFS(tblTickets[Status],"&lt;&gt;Closed",tblTickets[SLA Status],"Breached")</f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F1" workbookViewId="0">
      <pane ySplit="1" topLeftCell="A2" activePane="bottomLeft" state="frozen"/>
      <selection pane="bottomLeft" activeCell="S16" sqref="S16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  <col min="17" max="17" width="10.664062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557</v>
      </c>
      <c r="P1" s="1" t="s">
        <v>558</v>
      </c>
      <c r="Q1" s="1" t="s">
        <v>559</v>
      </c>
    </row>
    <row r="2" spans="1:17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  <c r="P2">
        <f>_xlfn.XLOOKUP(tblTickets[[#This Row],[Priority]],Lists!B:B,Lists!C:C)</f>
        <v>20</v>
      </c>
      <c r="Q2" s="4" t="str">
        <f ca="1">IF(tblTickets[[#This Row],[Age (days)]]&gt;tblTickets[[#This Row],[SLA (days)]],"Breached","OK")</f>
        <v>OK</v>
      </c>
    </row>
    <row r="3" spans="1:17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  <c r="P3">
        <f>_xlfn.XLOOKUP(tblTickets[[#This Row],[Priority]],Lists!B:B,Lists!C:C)</f>
        <v>20</v>
      </c>
      <c r="Q3" s="4" t="str">
        <f ca="1">IF(tblTickets[[#This Row],[Age (days)]]&gt;tblTickets[[#This Row],[SLA (days)]],"Breached","OK")</f>
        <v>OK</v>
      </c>
    </row>
    <row r="4" spans="1:17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  <c r="P4">
        <f>_xlfn.XLOOKUP(tblTickets[[#This Row],[Priority]],Lists!B:B,Lists!C:C)</f>
        <v>20</v>
      </c>
      <c r="Q4" s="4" t="str">
        <f ca="1">IF(tblTickets[[#This Row],[Age (days)]]&gt;tblTickets[[#This Row],[SLA (days)]],"Breached","OK")</f>
        <v>OK</v>
      </c>
    </row>
    <row r="5" spans="1:17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  <c r="P5">
        <f>_xlfn.XLOOKUP(tblTickets[[#This Row],[Priority]],Lists!B:B,Lists!C:C)</f>
        <v>10</v>
      </c>
      <c r="Q5" s="4" t="str">
        <f ca="1">IF(tblTickets[[#This Row],[Age (days)]]&gt;tblTickets[[#This Row],[SLA (days)]],"Breached","OK")</f>
        <v>Breached</v>
      </c>
    </row>
    <row r="6" spans="1:17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  <c r="P6">
        <f>_xlfn.XLOOKUP(tblTickets[[#This Row],[Priority]],Lists!B:B,Lists!C:C)</f>
        <v>20</v>
      </c>
      <c r="Q6" s="4" t="str">
        <f ca="1">IF(tblTickets[[#This Row],[Age (days)]]&gt;tblTickets[[#This Row],[SLA (days)]],"Breached","OK")</f>
        <v>Breached</v>
      </c>
    </row>
    <row r="7" spans="1:17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  <c r="P7">
        <f>_xlfn.XLOOKUP(tblTickets[[#This Row],[Priority]],Lists!B:B,Lists!C:C)</f>
        <v>20</v>
      </c>
      <c r="Q7" s="4" t="str">
        <f ca="1">IF(tblTickets[[#This Row],[Age (days)]]&gt;tblTickets[[#This Row],[SLA (days)]],"Breached","OK")</f>
        <v>OK</v>
      </c>
    </row>
    <row r="8" spans="1:17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  <c r="P8">
        <f>_xlfn.XLOOKUP(tblTickets[[#This Row],[Priority]],Lists!B:B,Lists!C:C)</f>
        <v>20</v>
      </c>
      <c r="Q8" s="4" t="str">
        <f ca="1">IF(tblTickets[[#This Row],[Age (days)]]&gt;tblTickets[[#This Row],[SLA (days)]],"Breached","OK")</f>
        <v>OK</v>
      </c>
    </row>
    <row r="9" spans="1:17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  <c r="P9">
        <f>_xlfn.XLOOKUP(tblTickets[[#This Row],[Priority]],Lists!B:B,Lists!C:C)</f>
        <v>20</v>
      </c>
      <c r="Q9" s="4" t="str">
        <f ca="1">IF(tblTickets[[#This Row],[Age (days)]]&gt;tblTickets[[#This Row],[SLA (days)]],"Breached","OK")</f>
        <v>Breached</v>
      </c>
    </row>
    <row r="10" spans="1:17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  <c r="P10">
        <f>_xlfn.XLOOKUP(tblTickets[[#This Row],[Priority]],Lists!B:B,Lists!C:C)</f>
        <v>20</v>
      </c>
      <c r="Q10" s="4" t="str">
        <f ca="1">IF(tblTickets[[#This Row],[Age (days)]]&gt;tblTickets[[#This Row],[SLA (days)]],"Breached","OK")</f>
        <v>OK</v>
      </c>
    </row>
    <row r="11" spans="1:17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  <c r="P11">
        <f>_xlfn.XLOOKUP(tblTickets[[#This Row],[Priority]],Lists!B:B,Lists!C:C)</f>
        <v>20</v>
      </c>
      <c r="Q11" s="4" t="str">
        <f ca="1">IF(tblTickets[[#This Row],[Age (days)]]&gt;tblTickets[[#This Row],[SLA (days)]],"Breached","OK")</f>
        <v>Breached</v>
      </c>
    </row>
    <row r="12" spans="1:17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  <c r="P12">
        <f>_xlfn.XLOOKUP(tblTickets[[#This Row],[Priority]],Lists!B:B,Lists!C:C)</f>
        <v>20</v>
      </c>
      <c r="Q12" s="4" t="str">
        <f ca="1">IF(tblTickets[[#This Row],[Age (days)]]&gt;tblTickets[[#This Row],[SLA (days)]],"Breached","OK")</f>
        <v>OK</v>
      </c>
    </row>
    <row r="13" spans="1:17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  <c r="P13">
        <f>_xlfn.XLOOKUP(tblTickets[[#This Row],[Priority]],Lists!B:B,Lists!C:C)</f>
        <v>20</v>
      </c>
      <c r="Q13" s="4" t="str">
        <f ca="1">IF(tblTickets[[#This Row],[Age (days)]]&gt;tblTickets[[#This Row],[SLA (days)]],"Breached","OK")</f>
        <v>OK</v>
      </c>
    </row>
    <row r="14" spans="1:17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  <c r="P14">
        <f>_xlfn.XLOOKUP(tblTickets[[#This Row],[Priority]],Lists!B:B,Lists!C:C)</f>
        <v>20</v>
      </c>
      <c r="Q14" s="4" t="str">
        <f ca="1">IF(tblTickets[[#This Row],[Age (days)]]&gt;tblTickets[[#This Row],[SLA (days)]],"Breached","OK")</f>
        <v>OK</v>
      </c>
    </row>
    <row r="15" spans="1:17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  <c r="P15">
        <f>_xlfn.XLOOKUP(tblTickets[[#This Row],[Priority]],Lists!B:B,Lists!C:C)</f>
        <v>10</v>
      </c>
      <c r="Q15" s="4" t="str">
        <f ca="1">IF(tblTickets[[#This Row],[Age (days)]]&gt;tblTickets[[#This Row],[SLA (days)]],"Breached","OK")</f>
        <v>OK</v>
      </c>
    </row>
    <row r="16" spans="1:17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  <c r="P16">
        <f>_xlfn.XLOOKUP(tblTickets[[#This Row],[Priority]],Lists!B:B,Lists!C:C)</f>
        <v>20</v>
      </c>
      <c r="Q16" s="4" t="str">
        <f ca="1">IF(tblTickets[[#This Row],[Age (days)]]&gt;tblTickets[[#This Row],[SLA (days)]],"Breached","OK")</f>
        <v>Breached</v>
      </c>
    </row>
    <row r="17" spans="1:17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  <c r="P17">
        <f>_xlfn.XLOOKUP(tblTickets[[#This Row],[Priority]],Lists!B:B,Lists!C:C)</f>
        <v>20</v>
      </c>
      <c r="Q17" s="4" t="str">
        <f ca="1">IF(tblTickets[[#This Row],[Age (days)]]&gt;tblTickets[[#This Row],[SLA (days)]],"Breached","OK")</f>
        <v>OK</v>
      </c>
    </row>
    <row r="18" spans="1:17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  <c r="P18">
        <f>_xlfn.XLOOKUP(tblTickets[[#This Row],[Priority]],Lists!B:B,Lists!C:C)</f>
        <v>20</v>
      </c>
      <c r="Q18" s="4" t="str">
        <f ca="1">IF(tblTickets[[#This Row],[Age (days)]]&gt;tblTickets[[#This Row],[SLA (days)]],"Breached","OK")</f>
        <v>Breached</v>
      </c>
    </row>
    <row r="19" spans="1:17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  <c r="P19">
        <f>_xlfn.XLOOKUP(tblTickets[[#This Row],[Priority]],Lists!B:B,Lists!C:C)</f>
        <v>20</v>
      </c>
      <c r="Q19" s="4" t="str">
        <f ca="1">IF(tblTickets[[#This Row],[Age (days)]]&gt;tblTickets[[#This Row],[SLA (days)]],"Breached","OK")</f>
        <v>OK</v>
      </c>
    </row>
    <row r="20" spans="1:17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  <c r="P20">
        <f>_xlfn.XLOOKUP(tblTickets[[#This Row],[Priority]],Lists!B:B,Lists!C:C)</f>
        <v>20</v>
      </c>
      <c r="Q20" s="4" t="str">
        <f ca="1">IF(tblTickets[[#This Row],[Age (days)]]&gt;tblTickets[[#This Row],[SLA (days)]],"Breached","OK")</f>
        <v>OK</v>
      </c>
    </row>
    <row r="21" spans="1:17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  <c r="P21">
        <f>_xlfn.XLOOKUP(tblTickets[[#This Row],[Priority]],Lists!B:B,Lists!C:C)</f>
        <v>10</v>
      </c>
      <c r="Q21" s="4" t="str">
        <f ca="1">IF(tblTickets[[#This Row],[Age (days)]]&gt;tblTickets[[#This Row],[SLA (days)]],"Breached","OK")</f>
        <v>Breached</v>
      </c>
    </row>
    <row r="22" spans="1:17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  <c r="P22">
        <f>_xlfn.XLOOKUP(tblTickets[[#This Row],[Priority]],Lists!B:B,Lists!C:C)</f>
        <v>20</v>
      </c>
      <c r="Q22" s="4" t="str">
        <f ca="1">IF(tblTickets[[#This Row],[Age (days)]]&gt;tblTickets[[#This Row],[SLA (days)]],"Breached","OK")</f>
        <v>OK</v>
      </c>
    </row>
    <row r="23" spans="1:17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  <c r="P23">
        <f>_xlfn.XLOOKUP(tblTickets[[#This Row],[Priority]],Lists!B:B,Lists!C:C)</f>
        <v>20</v>
      </c>
      <c r="Q23" s="4" t="str">
        <f ca="1">IF(tblTickets[[#This Row],[Age (days)]]&gt;tblTickets[[#This Row],[SLA (days)]],"Breached","OK")</f>
        <v>Breached</v>
      </c>
    </row>
    <row r="24" spans="1:17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  <c r="P24">
        <f>_xlfn.XLOOKUP(tblTickets[[#This Row],[Priority]],Lists!B:B,Lists!C:C)</f>
        <v>20</v>
      </c>
      <c r="Q24" s="4" t="str">
        <f ca="1">IF(tblTickets[[#This Row],[Age (days)]]&gt;tblTickets[[#This Row],[SLA (days)]],"Breached","OK")</f>
        <v>Breached</v>
      </c>
    </row>
    <row r="25" spans="1:17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  <c r="P25">
        <f>_xlfn.XLOOKUP(tblTickets[[#This Row],[Priority]],Lists!B:B,Lists!C:C)</f>
        <v>20</v>
      </c>
      <c r="Q25" s="4" t="str">
        <f ca="1">IF(tblTickets[[#This Row],[Age (days)]]&gt;tblTickets[[#This Row],[SLA (days)]],"Breached","OK")</f>
        <v>OK</v>
      </c>
    </row>
    <row r="26" spans="1:17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  <c r="P26">
        <f>_xlfn.XLOOKUP(tblTickets[[#This Row],[Priority]],Lists!B:B,Lists!C:C)</f>
        <v>20</v>
      </c>
      <c r="Q26" s="4" t="str">
        <f ca="1">IF(tblTickets[[#This Row],[Age (days)]]&gt;tblTickets[[#This Row],[SLA (days)]],"Breached","OK")</f>
        <v>OK</v>
      </c>
    </row>
    <row r="27" spans="1:17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  <c r="P27">
        <f>_xlfn.XLOOKUP(tblTickets[[#This Row],[Priority]],Lists!B:B,Lists!C:C)</f>
        <v>10</v>
      </c>
      <c r="Q27" s="4" t="str">
        <f ca="1">IF(tblTickets[[#This Row],[Age (days)]]&gt;tblTickets[[#This Row],[SLA (days)]],"Breached","OK")</f>
        <v>OK</v>
      </c>
    </row>
    <row r="28" spans="1:17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  <c r="P28">
        <f>_xlfn.XLOOKUP(tblTickets[[#This Row],[Priority]],Lists!B:B,Lists!C:C)</f>
        <v>5</v>
      </c>
      <c r="Q28" s="4" t="str">
        <f ca="1">IF(tblTickets[[#This Row],[Age (days)]]&gt;tblTickets[[#This Row],[SLA (days)]],"Breached","OK")</f>
        <v>OK</v>
      </c>
    </row>
    <row r="29" spans="1:17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  <c r="P29">
        <f>_xlfn.XLOOKUP(tblTickets[[#This Row],[Priority]],Lists!B:B,Lists!C:C)</f>
        <v>5</v>
      </c>
      <c r="Q29" s="4" t="str">
        <f ca="1">IF(tblTickets[[#This Row],[Age (days)]]&gt;tblTickets[[#This Row],[SLA (days)]],"Breached","OK")</f>
        <v>OK</v>
      </c>
    </row>
    <row r="30" spans="1:17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  <c r="P30">
        <f>_xlfn.XLOOKUP(tblTickets[[#This Row],[Priority]],Lists!B:B,Lists!C:C)</f>
        <v>10</v>
      </c>
      <c r="Q30" s="4" t="str">
        <f ca="1">IF(tblTickets[[#This Row],[Age (days)]]&gt;tblTickets[[#This Row],[SLA (days)]],"Breached","OK")</f>
        <v>Breached</v>
      </c>
    </row>
    <row r="31" spans="1:17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  <c r="P31">
        <f>_xlfn.XLOOKUP(tblTickets[[#This Row],[Priority]],Lists!B:B,Lists!C:C)</f>
        <v>5</v>
      </c>
      <c r="Q31" s="4" t="str">
        <f ca="1">IF(tblTickets[[#This Row],[Age (days)]]&gt;tblTickets[[#This Row],[SLA (days)]],"Breached","OK")</f>
        <v>Breached</v>
      </c>
    </row>
    <row r="32" spans="1:17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  <c r="P32">
        <f>_xlfn.XLOOKUP(tblTickets[[#This Row],[Priority]],Lists!B:B,Lists!C:C)</f>
        <v>5</v>
      </c>
      <c r="Q32" s="4" t="str">
        <f ca="1">IF(tblTickets[[#This Row],[Age (days)]]&gt;tblTickets[[#This Row],[SLA (days)]],"Breached","OK")</f>
        <v>Breached</v>
      </c>
    </row>
    <row r="33" spans="1:17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  <c r="P33">
        <f>_xlfn.XLOOKUP(tblTickets[[#This Row],[Priority]],Lists!B:B,Lists!C:C)</f>
        <v>10</v>
      </c>
      <c r="Q33" s="4" t="str">
        <f ca="1">IF(tblTickets[[#This Row],[Age (days)]]&gt;tblTickets[[#This Row],[SLA (days)]],"Breached","OK")</f>
        <v>OK</v>
      </c>
    </row>
    <row r="34" spans="1:17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  <c r="P34">
        <f>_xlfn.XLOOKUP(tblTickets[[#This Row],[Priority]],Lists!B:B,Lists!C:C)</f>
        <v>5</v>
      </c>
      <c r="Q34" s="4" t="str">
        <f ca="1">IF(tblTickets[[#This Row],[Age (days)]]&gt;tblTickets[[#This Row],[SLA (days)]],"Breached","OK")</f>
        <v>Breached</v>
      </c>
    </row>
    <row r="35" spans="1:17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  <c r="P35">
        <f>_xlfn.XLOOKUP(tblTickets[[#This Row],[Priority]],Lists!B:B,Lists!C:C)</f>
        <v>5</v>
      </c>
      <c r="Q35" s="4" t="str">
        <f ca="1">IF(tblTickets[[#This Row],[Age (days)]]&gt;tblTickets[[#This Row],[SLA (days)]],"Breached","OK")</f>
        <v>Breached</v>
      </c>
    </row>
    <row r="36" spans="1:17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  <c r="P36">
        <f>_xlfn.XLOOKUP(tblTickets[[#This Row],[Priority]],Lists!B:B,Lists!C:C)</f>
        <v>5</v>
      </c>
      <c r="Q36" s="4" t="str">
        <f ca="1">IF(tblTickets[[#This Row],[Age (days)]]&gt;tblTickets[[#This Row],[SLA (days)]],"Breached","OK")</f>
        <v>Breached</v>
      </c>
    </row>
    <row r="37" spans="1:17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  <c r="P37">
        <f>_xlfn.XLOOKUP(tblTickets[[#This Row],[Priority]],Lists!B:B,Lists!C:C)</f>
        <v>5</v>
      </c>
      <c r="Q37" s="4" t="str">
        <f ca="1">IF(tblTickets[[#This Row],[Age (days)]]&gt;tblTickets[[#This Row],[SLA (days)]],"Breached","OK")</f>
        <v>OK</v>
      </c>
    </row>
    <row r="38" spans="1:17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  <c r="P38">
        <f>_xlfn.XLOOKUP(tblTickets[[#This Row],[Priority]],Lists!B:B,Lists!C:C)</f>
        <v>5</v>
      </c>
      <c r="Q38" s="4" t="str">
        <f ca="1">IF(tblTickets[[#This Row],[Age (days)]]&gt;tblTickets[[#This Row],[SLA (days)]],"Breached","OK")</f>
        <v>Breached</v>
      </c>
    </row>
    <row r="39" spans="1:17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  <c r="P39">
        <f>_xlfn.XLOOKUP(tblTickets[[#This Row],[Priority]],Lists!B:B,Lists!C:C)</f>
        <v>5</v>
      </c>
      <c r="Q39" s="4" t="str">
        <f ca="1">IF(tblTickets[[#This Row],[Age (days)]]&gt;tblTickets[[#This Row],[SLA (days)]],"Breached","OK")</f>
        <v>OK</v>
      </c>
    </row>
    <row r="40" spans="1:17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  <c r="P40">
        <f>_xlfn.XLOOKUP(tblTickets[[#This Row],[Priority]],Lists!B:B,Lists!C:C)</f>
        <v>5</v>
      </c>
      <c r="Q40" s="4" t="str">
        <f ca="1">IF(tblTickets[[#This Row],[Age (days)]]&gt;tblTickets[[#This Row],[SLA (days)]],"Breached","OK")</f>
        <v>Breached</v>
      </c>
    </row>
    <row r="41" spans="1:17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  <c r="P41">
        <f>_xlfn.XLOOKUP(tblTickets[[#This Row],[Priority]],Lists!B:B,Lists!C:C)</f>
        <v>10</v>
      </c>
      <c r="Q41" s="4" t="str">
        <f ca="1">IF(tblTickets[[#This Row],[Age (days)]]&gt;tblTickets[[#This Row],[SLA (days)]],"Breached","OK")</f>
        <v>OK</v>
      </c>
    </row>
    <row r="42" spans="1:17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  <c r="P42">
        <f>_xlfn.XLOOKUP(tblTickets[[#This Row],[Priority]],Lists!B:B,Lists!C:C)</f>
        <v>5</v>
      </c>
      <c r="Q42" s="4" t="str">
        <f ca="1">IF(tblTickets[[#This Row],[Age (days)]]&gt;tblTickets[[#This Row],[SLA (days)]],"Breached","OK")</f>
        <v>Breached</v>
      </c>
    </row>
    <row r="43" spans="1:17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  <c r="P43">
        <f>_xlfn.XLOOKUP(tblTickets[[#This Row],[Priority]],Lists!B:B,Lists!C:C)</f>
        <v>10</v>
      </c>
      <c r="Q43" s="4" t="str">
        <f ca="1">IF(tblTickets[[#This Row],[Age (days)]]&gt;tblTickets[[#This Row],[SLA (days)]],"Breached","OK")</f>
        <v>Breached</v>
      </c>
    </row>
    <row r="44" spans="1:17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  <c r="P44">
        <f>_xlfn.XLOOKUP(tblTickets[[#This Row],[Priority]],Lists!B:B,Lists!C:C)</f>
        <v>5</v>
      </c>
      <c r="Q44" s="4" t="str">
        <f ca="1">IF(tblTickets[[#This Row],[Age (days)]]&gt;tblTickets[[#This Row],[SLA (days)]],"Breached","OK")</f>
        <v>Breached</v>
      </c>
    </row>
    <row r="45" spans="1:17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  <c r="P45">
        <f>_xlfn.XLOOKUP(tblTickets[[#This Row],[Priority]],Lists!B:B,Lists!C:C)</f>
        <v>5</v>
      </c>
      <c r="Q45" s="4" t="str">
        <f ca="1">IF(tblTickets[[#This Row],[Age (days)]]&gt;tblTickets[[#This Row],[SLA (days)]],"Breached","OK")</f>
        <v>Breached</v>
      </c>
    </row>
    <row r="46" spans="1:17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  <c r="P46">
        <f>_xlfn.XLOOKUP(tblTickets[[#This Row],[Priority]],Lists!B:B,Lists!C:C)</f>
        <v>5</v>
      </c>
      <c r="Q46" s="4" t="str">
        <f ca="1">IF(tblTickets[[#This Row],[Age (days)]]&gt;tblTickets[[#This Row],[SLA (days)]],"Breached","OK")</f>
        <v>Breached</v>
      </c>
    </row>
    <row r="47" spans="1:17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  <c r="P47">
        <f>_xlfn.XLOOKUP(tblTickets[[#This Row],[Priority]],Lists!B:B,Lists!C:C)</f>
        <v>5</v>
      </c>
      <c r="Q47" s="4" t="str">
        <f ca="1">IF(tblTickets[[#This Row],[Age (days)]]&gt;tblTickets[[#This Row],[SLA (days)]],"Breached","OK")</f>
        <v>Breached</v>
      </c>
    </row>
    <row r="48" spans="1:17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  <c r="P48">
        <f>_xlfn.XLOOKUP(tblTickets[[#This Row],[Priority]],Lists!B:B,Lists!C:C)</f>
        <v>5</v>
      </c>
      <c r="Q48" s="4" t="str">
        <f ca="1">IF(tblTickets[[#This Row],[Age (days)]]&gt;tblTickets[[#This Row],[SLA (days)]],"Breached","OK")</f>
        <v>Breached</v>
      </c>
    </row>
    <row r="49" spans="1:17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  <c r="P49">
        <f>_xlfn.XLOOKUP(tblTickets[[#This Row],[Priority]],Lists!B:B,Lists!C:C)</f>
        <v>5</v>
      </c>
      <c r="Q49" s="4" t="str">
        <f ca="1">IF(tblTickets[[#This Row],[Age (days)]]&gt;tblTickets[[#This Row],[SLA (days)]],"Breached","OK")</f>
        <v>Breached</v>
      </c>
    </row>
    <row r="50" spans="1:17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  <c r="P50">
        <f>_xlfn.XLOOKUP(tblTickets[[#This Row],[Priority]],Lists!B:B,Lists!C:C)</f>
        <v>10</v>
      </c>
      <c r="Q50" s="4" t="str">
        <f ca="1">IF(tblTickets[[#This Row],[Age (days)]]&gt;tblTickets[[#This Row],[SLA (days)]],"Breached","OK")</f>
        <v>OK</v>
      </c>
    </row>
    <row r="51" spans="1:17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  <c r="P51">
        <f>_xlfn.XLOOKUP(tblTickets[[#This Row],[Priority]],Lists!B:B,Lists!C:C)</f>
        <v>5</v>
      </c>
      <c r="Q51" s="4" t="str">
        <f ca="1">IF(tblTickets[[#This Row],[Age (days)]]&gt;tblTickets[[#This Row],[SLA (days)]],"Breached","OK")</f>
        <v>Breached</v>
      </c>
    </row>
    <row r="52" spans="1:17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  <c r="P52">
        <f>_xlfn.XLOOKUP(tblTickets[[#This Row],[Priority]],Lists!B:B,Lists!C:C)</f>
        <v>10</v>
      </c>
      <c r="Q52" s="4" t="str">
        <f ca="1">IF(tblTickets[[#This Row],[Age (days)]]&gt;tblTickets[[#This Row],[SLA (days)]],"Breached","OK")</f>
        <v>Breached</v>
      </c>
    </row>
    <row r="53" spans="1:17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  <c r="P53">
        <f>_xlfn.XLOOKUP(tblTickets[[#This Row],[Priority]],Lists!B:B,Lists!C:C)</f>
        <v>10</v>
      </c>
      <c r="Q53" s="4" t="str">
        <f ca="1">IF(tblTickets[[#This Row],[Age (days)]]&gt;tblTickets[[#This Row],[SLA (days)]],"Breached","OK")</f>
        <v>OK</v>
      </c>
    </row>
    <row r="54" spans="1:17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  <c r="P54">
        <f>_xlfn.XLOOKUP(tblTickets[[#This Row],[Priority]],Lists!B:B,Lists!C:C)</f>
        <v>5</v>
      </c>
      <c r="Q54" s="4" t="str">
        <f ca="1">IF(tblTickets[[#This Row],[Age (days)]]&gt;tblTickets[[#This Row],[SLA (days)]],"Breached","OK")</f>
        <v>Breached</v>
      </c>
    </row>
    <row r="55" spans="1:17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  <c r="P55">
        <f>_xlfn.XLOOKUP(tblTickets[[#This Row],[Priority]],Lists!B:B,Lists!C:C)</f>
        <v>10</v>
      </c>
      <c r="Q55" s="4" t="str">
        <f ca="1">IF(tblTickets[[#This Row],[Age (days)]]&gt;tblTickets[[#This Row],[SLA (days)]],"Breached","OK")</f>
        <v>OK</v>
      </c>
    </row>
    <row r="56" spans="1:17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  <c r="P56">
        <f>_xlfn.XLOOKUP(tblTickets[[#This Row],[Priority]],Lists!B:B,Lists!C:C)</f>
        <v>10</v>
      </c>
      <c r="Q56" s="4" t="str">
        <f ca="1">IF(tblTickets[[#This Row],[Age (days)]]&gt;tblTickets[[#This Row],[SLA (days)]],"Breached","OK")</f>
        <v>Breached</v>
      </c>
    </row>
    <row r="57" spans="1:17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  <c r="P57">
        <f>_xlfn.XLOOKUP(tblTickets[[#This Row],[Priority]],Lists!B:B,Lists!C:C)</f>
        <v>5</v>
      </c>
      <c r="Q57" s="4" t="str">
        <f ca="1">IF(tblTickets[[#This Row],[Age (days)]]&gt;tblTickets[[#This Row],[SLA (days)]],"Breached","OK")</f>
        <v>OK</v>
      </c>
    </row>
    <row r="58" spans="1:17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  <c r="P58">
        <f>_xlfn.XLOOKUP(tblTickets[[#This Row],[Priority]],Lists!B:B,Lists!C:C)</f>
        <v>5</v>
      </c>
      <c r="Q58" s="4" t="str">
        <f ca="1">IF(tblTickets[[#This Row],[Age (days)]]&gt;tblTickets[[#This Row],[SLA (days)]],"Breached","OK")</f>
        <v>Breached</v>
      </c>
    </row>
    <row r="59" spans="1:17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  <c r="P59">
        <f>_xlfn.XLOOKUP(tblTickets[[#This Row],[Priority]],Lists!B:B,Lists!C:C)</f>
        <v>5</v>
      </c>
      <c r="Q59" s="4" t="str">
        <f ca="1">IF(tblTickets[[#This Row],[Age (days)]]&gt;tblTickets[[#This Row],[SLA (days)]],"Breached","OK")</f>
        <v>Breached</v>
      </c>
    </row>
    <row r="60" spans="1:17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  <c r="P60">
        <f>_xlfn.XLOOKUP(tblTickets[[#This Row],[Priority]],Lists!B:B,Lists!C:C)</f>
        <v>5</v>
      </c>
      <c r="Q60" s="4" t="str">
        <f ca="1">IF(tblTickets[[#This Row],[Age (days)]]&gt;tblTickets[[#This Row],[SLA (days)]],"Breached","OK")</f>
        <v>OK</v>
      </c>
    </row>
    <row r="61" spans="1:17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  <c r="P61">
        <f>_xlfn.XLOOKUP(tblTickets[[#This Row],[Priority]],Lists!B:B,Lists!C:C)</f>
        <v>5</v>
      </c>
      <c r="Q61" s="4" t="str">
        <f ca="1">IF(tblTickets[[#This Row],[Age (days)]]&gt;tblTickets[[#This Row],[SLA (days)]],"Breached","OK")</f>
        <v>Breached</v>
      </c>
    </row>
  </sheetData>
  <conditionalFormatting sqref="Q2:Q61">
    <cfRule type="containsText" dxfId="2" priority="2" operator="containsText" text="Breached">
      <formula>NOT(ISERROR(SEARCH("Breached",Q2)))</formula>
    </cfRule>
    <cfRule type="containsText" dxfId="1" priority="1" operator="containsText" text="Breached">
      <formula>NOT(ISERROR(SEARCH("Breached",Q2)))</formula>
    </cfRule>
  </conditionalFormatting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C5"/>
  <sheetViews>
    <sheetView workbookViewId="0">
      <selection activeCell="E8" sqref="E8"/>
    </sheetView>
  </sheetViews>
  <sheetFormatPr baseColWidth="10" defaultRowHeight="15" x14ac:dyDescent="0.2"/>
  <sheetData>
    <row r="1" spans="1:3" x14ac:dyDescent="0.2">
      <c r="A1" t="s">
        <v>10</v>
      </c>
      <c r="B1" t="s">
        <v>9</v>
      </c>
      <c r="C1" t="s">
        <v>558</v>
      </c>
    </row>
    <row r="2" spans="1:3" x14ac:dyDescent="0.2">
      <c r="A2" t="s">
        <v>40</v>
      </c>
      <c r="B2" t="s">
        <v>120</v>
      </c>
      <c r="C2">
        <v>5</v>
      </c>
    </row>
    <row r="3" spans="1:3" x14ac:dyDescent="0.2">
      <c r="A3" t="s">
        <v>31</v>
      </c>
      <c r="B3" t="s">
        <v>39</v>
      </c>
      <c r="C3">
        <v>10</v>
      </c>
    </row>
    <row r="4" spans="1:3" x14ac:dyDescent="0.2">
      <c r="A4" t="s">
        <v>149</v>
      </c>
      <c r="B4" t="s">
        <v>21</v>
      </c>
      <c r="C4">
        <v>20</v>
      </c>
    </row>
    <row r="5" spans="1:3" x14ac:dyDescent="0.2">
      <c r="A5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Dashboard</vt:lpstr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2026-10-05T11:27:12Z</dcterms:modified>
</cp:coreProperties>
</file>