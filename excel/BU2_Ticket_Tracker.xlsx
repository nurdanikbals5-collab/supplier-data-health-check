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8CE441EC-A384-0D46-A1BB-2EFD8476A3F8}" xr6:coauthVersionLast="47" xr6:coauthVersionMax="47" xr10:uidLastSave="{00000000-0000-0000-0000-000000000000}"/>
  <bookViews>
    <workbookView xWindow="0" yWindow="520" windowWidth="28800" windowHeight="16020" xr2:uid="{00000000-000D-0000-FFFF-FFFF00000000}"/>
  </bookViews>
  <sheets>
    <sheet name="Dashboard" sheetId="5" r:id="rId1"/>
    <sheet name="Tickets" sheetId="1" r:id="rId2"/>
    <sheet name="Lists" sheetId="3" r:id="rId3"/>
    <sheet name="About" sheetId="2" r:id="rId4"/>
    <sheet name="Suppliers" sheetId="4" r:id="rId5"/>
  </sheets>
  <definedNames>
    <definedName name="lstPriority">Lists!$B$2:$B$4</definedName>
    <definedName name="lstStatus">Lists!$A$2:$A$5</definedName>
  </definedName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O2" i="1"/>
  <c r="Q2" i="1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B5" i="5" l="1"/>
</calcChain>
</file>

<file path=xl/sharedStrings.xml><?xml version="1.0" encoding="utf-8"?>
<sst xmlns="http://schemas.openxmlformats.org/spreadsheetml/2006/main" count="1531" uniqueCount="570">
  <si>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</si>
  <si>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</si>
  <si>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</si>
  <si>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</si>
  <si>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</si>
  <si>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</si>
  <si>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</si>
  <si>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</si>
  <si>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</si>
  <si>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</si>
  <si>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</si>
  <si>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</si>
  <si>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</si>
  <si>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</si>
  <si>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</si>
  <si>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</si>
  <si>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</si>
  <si>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</si>
  <si>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</si>
  <si>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</si>
  <si>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</si>
  <si>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</si>
  <si>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</si>
  <si>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</si>
  <si>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</si>
  <si>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</si>
  <si>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</si>
  <si>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</si>
  <si>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</si>
  <si>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</si>
  <si>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</si>
  <si>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</si>
  <si>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</si>
  <si>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</si>
  <si>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</si>
  <si>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</si>
  <si>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</si>
  <si>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</si>
  <si>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</si>
  <si>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</si>
  <si>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</si>
  <si>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</si>
  <si>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</si>
  <si>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</si>
  <si>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</si>
  <si>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</si>
  <si>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</si>
  <si>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</si>
  <si>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</si>
  <si>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</si>
  <si>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</si>
  <si>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</si>
  <si>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</si>
  <si>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</si>
  <si>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</si>
  <si>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</si>
  <si>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</si>
  <si>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</si>
  <si>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</si>
  <si>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</si>
  <si>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</si>
  <si>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</si>
  <si>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</si>
  <si>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</si>
  <si>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</si>
  <si>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</si>
  <si>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</si>
  <si>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</si>
  <si>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</si>
  <si>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</si>
  <si>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</si>
  <si>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</si>
  <si>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</si>
  <si>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</si>
  <si>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</si>
  <si>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</si>
  <si>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</si>
  <si>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</si>
  <si>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</si>
  <si>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</si>
  <si>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</si>
  <si>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</si>
  <si>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</si>
  <si>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</si>
  <si>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</si>
  <si>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</si>
  <si>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</si>
  <si>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</si>
  <si>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</si>
  <si>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</si>
  <si>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</si>
  <si>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</si>
  <si>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</si>
  <si>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</si>
  <si>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</si>
  <si>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</si>
  <si>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</si>
  <si>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</si>
  <si>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</si>
  <si>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</si>
  <si>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</si>
  <si>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</si>
  <si>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</si>
  <si>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</si>
  <si>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</si>
  <si>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</si>
  <si>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</si>
  <si>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</si>
  <si>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</si>
  <si>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</si>
  <si>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</si>
  <si>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</si>
  <si>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</si>
  <si>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</si>
  <si>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</si>
  <si>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</si>
  <si>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</si>
  <si>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</si>
  <si>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</si>
  <si>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</si>
  <si>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</si>
  <si>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</si>
  <si>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</si>
  <si>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</si>
  <si>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</si>
  <si>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</si>
  <si>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</si>
  <si>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</si>
  <si>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</si>
  <si>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</si>
  <si>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</si>
  <si>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</si>
  <si>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</si>
  <si>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</si>
  <si>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</si>
  <si>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</si>
  <si>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</si>
  <si>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</si>
  <si>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</si>
  <si>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</si>
  <si>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</si>
  <si>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</si>
  <si>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</si>
  <si>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</si>
  <si>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</si>
  <si>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</si>
  <si>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</si>
  <si>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</si>
  <si>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</si>
  <si>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</si>
  <si>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</si>
  <si>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</si>
  <si>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</si>
  <si>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</si>
  <si>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</si>
  <si>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</si>
  <si>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</si>
  <si>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</si>
  <si>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</si>
  <si>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</si>
  <si>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</si>
  <si>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</si>
  <si>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</si>
  <si>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</si>
  <si>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</si>
  <si>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</si>
  <si>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</si>
  <si>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</si>
  <si>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</si>
  <si>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</si>
  <si>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</si>
  <si>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</si>
  <si>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</si>
  <si>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</si>
  <si>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</si>
  <si>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</si>
  <si>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</si>
  <si>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</si>
  <si>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</si>
  <si>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</si>
  <si>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</si>
  <si>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</si>
  <si>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</si>
  <si>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</si>
  <si>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</si>
  <si>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</si>
  <si>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</si>
  <si>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</si>
  <si>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</si>
  <si>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</si>
  <si>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</si>
  <si>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</si>
  <si>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</si>
  <si>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</si>
  <si>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</si>
  <si>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</si>
  <si>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</si>
  <si>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</si>
  <si>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</si>
  <si>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</si>
  <si>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</si>
  <si>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</si>
  <si>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</si>
  <si>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</si>
  <si>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</si>
  <si>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</si>
  <si>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</si>
  <si>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</si>
  <si>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</si>
  <si>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</si>
  <si>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</si>
  <si>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</si>
  <si>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</si>
  <si>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</si>
  <si>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</si>
  <si>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</si>
  <si>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</si>
  <si>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</si>
  <si>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</si>
  <si>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</si>
  <si>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</si>
  <si>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</si>
  <si>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</si>
  <si>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</si>
  <si>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</si>
  <si>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</si>
  <si>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</si>
  <si>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</si>
  <si>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</si>
  <si>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</si>
  <si>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</si>
  <si>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</si>
  <si>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</si>
  <si>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</si>
  <si>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</si>
  <si>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</si>
  <si>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</si>
  <si>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</si>
  <si>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</si>
  <si>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</si>
  <si>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</si>
  <si>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</si>
  <si>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</si>
  <si>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</si>
  <si>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</si>
  <si>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</si>
  <si>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</si>
  <si>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</si>
  <si>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</si>
  <si>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</si>
  <si>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</si>
  <si>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</si>
  <si>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</si>
  <si>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</si>
  <si>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</si>
  <si>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</si>
  <si>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</si>
  <si>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</si>
  <si>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</si>
  <si>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</si>
  <si>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</si>
  <si>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</si>
  <si>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</si>
  <si>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</si>
  <si>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</si>
  <si>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</si>
  <si>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</si>
  <si>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</si>
  <si>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</si>
  <si>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</si>
  <si>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</si>
  <si>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</si>
  <si>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</si>
  <si>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</si>
  <si>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</si>
  <si>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</si>
  <si>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</si>
  <si>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</si>
  <si>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</si>
  <si>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</si>
  <si>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</si>
  <si>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</si>
  <si>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</si>
  <si>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</si>
  <si>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</si>
  <si>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</si>
  <si>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</si>
  <si>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</si>
  <si>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</si>
  <si>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</si>
  <si>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</si>
  <si>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</si>
  <si>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</si>
  <si>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</si>
  <si>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</si>
  <si>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</si>
  <si>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</si>
  <si>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</si>
  <si>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</si>
  <si>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</si>
  <si>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</si>
  <si>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</si>
  <si>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</si>
  <si>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</si>
  <si>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</si>
  <si>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</si>
  <si>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</si>
  <si>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</si>
  <si>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</si>
  <si>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</si>
  <si>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</si>
  <si>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</si>
  <si>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</si>
  <si>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</si>
  <si>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</si>
  <si>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</si>
  <si>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</si>
  <si>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</si>
  <si>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</si>
  <si>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</si>
  <si>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</si>
  <si>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</si>
  <si>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</si>
  <si>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</si>
  <si>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</si>
  <si>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</si>
  <si>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</si>
  <si>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</si>
  <si>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</si>
  <si>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</si>
  <si>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</si>
  <si>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</si>
  <si>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</si>
  <si>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</si>
  <si>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</si>
  <si>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</si>
  <si>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</si>
  <si>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</si>
  <si>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</si>
  <si>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</si>
  <si>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</si>
  <si>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</si>
  <si>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</si>
  <si>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</si>
  <si>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</si>
  <si>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</si>
  <si>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</si>
  <si>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</si>
  <si>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</si>
  <si>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</si>
  <si>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</si>
  <si>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</si>
  <si>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</si>
  <si>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</si>
  <si>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</si>
  <si>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</si>
  <si>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</si>
  <si>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</si>
  <si>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</si>
  <si>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</si>
  <si>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</si>
  <si>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</si>
  <si>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</si>
  <si>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</si>
  <si>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</si>
  <si>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</si>
  <si>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</si>
  <si>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</si>
  <si>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</si>
  <si>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</si>
  <si>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</si>
  <si>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</si>
  <si>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</si>
  <si>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</si>
  <si>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</si>
  <si>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</si>
  <si>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</si>
  <si>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</si>
  <si>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</si>
  <si>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</si>
  <si>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</si>
  <si>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</si>
  <si>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</si>
  <si>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</si>
  <si>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</si>
  <si>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</si>
  <si>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</si>
  <si>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</si>
  <si>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</si>
  <si>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</si>
  <si>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</si>
  <si>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</si>
  <si>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</si>
  <si>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</si>
  <si>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</si>
  <si>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</si>
  <si>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</si>
  <si>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</si>
  <si>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</si>
  <si>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</si>
  <si>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</si>
  <si>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</si>
  <si>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</si>
  <si>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</si>
  <si>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</si>
  <si>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</si>
  <si>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</si>
  <si>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</si>
  <si>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</si>
  <si>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</si>
  <si>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</si>
  <si>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</si>
  <si>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</si>
  <si>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</si>
  <si>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</si>
  <si>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</si>
  <si>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</si>
  <si>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</si>
  <si>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</si>
  <si>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</si>
  <si>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</si>
  <si>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</si>
  <si>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</si>
  <si>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</si>
  <si>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</si>
  <si>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</si>
  <si>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</si>
  <si>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</si>
  <si>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</si>
  <si>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</si>
  <si>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</si>
  <si>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</si>
  <si>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</si>
  <si>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</si>
  <si>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</si>
  <si>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</si>
  <si>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</si>
  <si>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</si>
  <si>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</si>
  <si>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</si>
  <si>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</si>
  <si>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</si>
  <si>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</si>
  <si>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</si>
  <si>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</si>
  <si>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</si>
  <si>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</si>
  <si>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</si>
  <si>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</si>
  <si>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</si>
  <si>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</si>
  <si>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</si>
  <si>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</si>
  <si>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</si>
  <si>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</si>
  <si>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</si>
  <si>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</si>
  <si>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</si>
  <si>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</si>
  <si>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</si>
  <si>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</si>
  <si>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</si>
  <si>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</si>
  <si>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</si>
  <si>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</si>
  <si>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</si>
  <si>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</si>
  <si>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</si>
  <si>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</si>
  <si>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</si>
  <si>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</si>
  <si>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</si>
  <si>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</si>
  <si>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</si>
  <si>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</si>
  <si>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</si>
  <si>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</si>
  <si>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</si>
  <si>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</si>
  <si>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</si>
  <si>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</si>
  <si>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</si>
  <si>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</si>
  <si>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</si>
  <si>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</si>
  <si>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</si>
  <si>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</si>
  <si>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</si>
  <si>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</si>
  <si>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</si>
  <si>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</si>
  <si>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</si>
  <si>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</si>
  <si>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</si>
  <si>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</si>
  <si>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</si>
  <si>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</si>
  <si>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</si>
  <si>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</si>
  <si>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</si>
  <si>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</si>
  <si>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</si>
  <si>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</si>
  <si>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</si>
  <si>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</si>
  <si>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</si>
  <si>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</si>
  <si>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</si>
  <si>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</si>
  <si>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</si>
  <si>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</si>
  <si>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</si>
  <si>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</si>
  <si>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</si>
  <si>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</si>
  <si>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</si>
  <si>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</si>
  <si>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</si>
  <si>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</si>
  <si>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</si>
  <si>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</si>
  <si>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</si>
  <si>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</si>
  <si>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</si>
  <si>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</si>
  <si>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</si>
  <si>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</si>
  <si>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</si>
  <si>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</si>
  <si>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</si>
  <si>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</si>
  <si>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</si>
  <si>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</si>
  <si>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</si>
  <si>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</si>
  <si>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</si>
  <si>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</si>
  <si>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</si>
  <si>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</si>
  <si>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</si>
  <si>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</si>
  <si>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</si>
  <si>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</si>
  <si>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</si>
  <si>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</si>
  <si>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</si>
  <si>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</si>
  <si>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</si>
  <si>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</si>
  <si>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</si>
  <si>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</si>
  <si>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</si>
  <si>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</si>
  <si>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</si>
  <si>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</si>
  <si>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</si>
  <si>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</si>
  <si>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Age (days)</t>
  </si>
  <si>
    <t>SLA (days)</t>
  </si>
  <si>
    <t>SLA Status</t>
  </si>
  <si>
    <t>BU2 Ticket Dashboard</t>
  </si>
  <si>
    <t>Total tickets</t>
  </si>
  <si>
    <t>Open tickets</t>
  </si>
  <si>
    <t>Open &amp; SLA breached</t>
  </si>
  <si>
    <t>Row Labels</t>
  </si>
  <si>
    <t>Grand Total</t>
  </si>
  <si>
    <t>Column Labels</t>
  </si>
  <si>
    <t>Breached</t>
  </si>
  <si>
    <t>OK</t>
  </si>
  <si>
    <t>Count of Ticket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</si>
</sst>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c" refreshedDate="46300.604069444445" createdVersion="8" refreshedVersion="8" minRefreshableVersion="3" recordCount="60" xr:uid="{E198A4B9-9466-014B-B142-729ED828A4DF}">
  <cacheSource type="worksheet">
    <worksheetSource name="tblTickets"/>
  </cacheSource>
  <cacheFields count="17">
    <cacheField name="Ticket ID" numFmtId="0">
      <sharedItems/>
    </cacheField>
    <cacheField name="Created On" numFmtId="164">
      <sharedItems containsSemiMixedTypes="0" containsNonDate="0" containsDate="1" containsString="0" minDate="2026-09-01T00:00:00" maxDate="2026-10-04T00:00:00"/>
    </cacheField>
    <cacheField name="System" numFmtId="0">
      <sharedItems/>
    </cacheField>
    <cacheField name="Record ID" numFmtId="0">
      <sharedItems/>
    </cacheField>
    <cacheField name="Supplier" numFmtId="0">
      <sharedItems/>
    </cacheField>
    <cacheField name="Field" numFmtId="0">
      <sharedItems/>
    </cacheField>
    <cacheField name="DQ Dimension" numFmtId="0">
      <sharedItems/>
    </cacheField>
    <cacheField name="Issue" numFmtId="0">
      <sharedItems/>
    </cacheField>
    <cacheField name="Suggested Action" numFmtId="0">
      <sharedItems/>
    </cacheField>
    <cacheField name="Priority" numFmtId="0">
      <sharedItems/>
    </cacheField>
    <cacheField name="Status" numFmtId="0">
      <sharedItems/>
    </cacheField>
    <cacheField name="Owner" numFmtId="0">
      <sharedItems/>
    </cacheField>
    <cacheField name="Closed On" numFmtId="164">
      <sharedItems containsNonDate="0" containsDate="1" containsString="0" containsBlank="1" minDate="2026-09-03T00:00:00" maxDate="2026-10-06T00:00:00"/>
    </cacheField>
    <cacheField name="Segment" numFmtId="0">
      <sharedItems count="5">
        <s v="Critical: quality and delivery"/>
        <s v="Strategic and reliable"/>
        <s v="Delivery risk"/>
        <s v="Reliable, lower spend"/>
        <s v="Quality risk"/>
      </sharedItems>
    </cacheField>
    <cacheField name="Age (days)" numFmtId="0">
      <sharedItems containsSemiMixedTypes="0" containsString="0" containsNumber="1" containsInteger="1" minValue="1" maxValue="34"/>
    </cacheField>
    <cacheField name="SLA (days)" numFmtId="0">
      <sharedItems containsSemiMixedTypes="0" containsString="0" containsNumber="1" containsInteger="1" minValue="5" maxValue="20"/>
    </cacheField>
    <cacheField name="SLA Status" numFmtId="0">
      <sharedItems count="2">
        <s v="OK"/>
        <s v="Breach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T-0001"/>
    <d v="2026-09-29T00:00:00"/>
    <s v="ERP_B"/>
    <s v="SUP-0065"/>
    <s v="Kappaplast"/>
    <s v="vat_number"/>
    <s v="consistency"/>
    <s v="VAT ID contains spaces"/>
    <s v="Remove spaces during migration"/>
    <s v="Low"/>
    <s v="Closed"/>
    <s v="S. Kaya"/>
    <d v="2026-10-05T00:00:00"/>
    <x v="0"/>
    <n v="6"/>
    <n v="20"/>
    <x v="0"/>
  </r>
  <r>
    <s v="T-0002"/>
    <d v="2026-10-03T00:00:00"/>
    <s v="ERP_B"/>
    <s v="SUP-0057"/>
    <s v="Boratronic SAS"/>
    <s v="vat_number"/>
    <s v="consistency"/>
    <s v="VAT ID contains spaces"/>
    <s v="Remove spaces during migration"/>
    <s v="Low"/>
    <s v="Closed"/>
    <s v="L. Rossi"/>
    <d v="2026-10-05T00:00:00"/>
    <x v="1"/>
    <n v="2"/>
    <n v="20"/>
    <x v="0"/>
  </r>
  <r>
    <s v="T-0003"/>
    <d v="2026-10-03T00:00:00"/>
    <s v="ERP_B"/>
    <s v="SUP-0047"/>
    <s v="LUMENWERK S.R.O."/>
    <s v="vat_number"/>
    <s v="consistency"/>
    <s v="VAT ID contains spaces"/>
    <s v="Remove spaces during migration"/>
    <s v="Low"/>
    <s v="In Progress"/>
    <s v="J. Novak"/>
    <m/>
    <x v="0"/>
    <n v="2"/>
    <n v="20"/>
    <x v="0"/>
  </r>
  <r>
    <s v="T-0004"/>
    <d v="2026-09-12T00:00:00"/>
    <s v="ERP_B"/>
    <s v="SUP-0042"/>
    <s v="Voltawerk"/>
    <s v="country"/>
    <s v="consistency"/>
    <s v="Country is not a standard English name / ISO code"/>
    <s v="Map to ISO code DE"/>
    <s v="Medium"/>
    <s v="Open"/>
    <s v="M. Chen"/>
    <m/>
    <x v="0"/>
    <n v="23"/>
    <n v="10"/>
    <x v="1"/>
  </r>
  <r>
    <s v="T-0005"/>
    <d v="2026-09-10T00:00:00"/>
    <s v="ERP_B"/>
    <s v="SUP-0016"/>
    <s v="CERROCAST S.R.O."/>
    <s v="vat_number"/>
    <s v="consistency"/>
    <s v="VAT ID contains spaces"/>
    <s v="Remove spaces during migration"/>
    <s v="Low"/>
    <s v="Open"/>
    <s v="A. Weber"/>
    <m/>
    <x v="0"/>
    <n v="25"/>
    <n v="20"/>
    <x v="1"/>
  </r>
  <r>
    <s v="T-0006"/>
    <d v="2026-09-26T00:00:00"/>
    <s v="ERP_B"/>
    <s v="SUP-0018"/>
    <s v="Atlaswerk"/>
    <s v="vat_number"/>
    <s v="consistency"/>
    <s v="VAT ID contains spaces"/>
    <s v="Remove spaces during migration"/>
    <s v="Low"/>
    <s v="Closed"/>
    <s v="L. Rossi"/>
    <d v="2026-10-05T00:00:00"/>
    <x v="2"/>
    <n v="9"/>
    <n v="20"/>
    <x v="0"/>
  </r>
  <r>
    <s v="T-0007"/>
    <d v="2026-09-01T00:00:00"/>
    <s v="ERP_B"/>
    <s v="SUP-0019"/>
    <s v="Nordplast  s.r.o."/>
    <s v="vat_number"/>
    <s v="consistency"/>
    <s v="VAT ID contains spaces"/>
    <s v="Remove spaces during migration"/>
    <s v="Low"/>
    <s v="Closed"/>
    <s v="A. Weber"/>
    <d v="2026-09-03T00:00:00"/>
    <x v="2"/>
    <n v="2"/>
    <n v="20"/>
    <x v="0"/>
  </r>
  <r>
    <s v="T-0008"/>
    <d v="2026-09-03T00:00:00"/>
    <s v="ERP_B"/>
    <s v="SUP-0027"/>
    <s v="Nordguss"/>
    <s v="vat_number"/>
    <s v="consistency"/>
    <s v="VAT ID contains spaces"/>
    <s v="Remove spaces during migration"/>
    <s v="Low"/>
    <s v="Open"/>
    <s v="L. Rossi"/>
    <m/>
    <x v="3"/>
    <n v="32"/>
    <n v="20"/>
    <x v="1"/>
  </r>
  <r>
    <s v="T-0009"/>
    <d v="2026-09-02T00:00:00"/>
    <s v="ERP_B"/>
    <s v="SUP-0034"/>
    <s v="Primaplast"/>
    <s v="vat_number"/>
    <s v="consistency"/>
    <s v="VAT ID contains spaces"/>
    <s v="Remove spaces during migration"/>
    <s v="Low"/>
    <s v="Closed"/>
    <s v="S. Kaya"/>
    <d v="2026-09-08T00:00:00"/>
    <x v="4"/>
    <n v="6"/>
    <n v="20"/>
    <x v="0"/>
  </r>
  <r>
    <s v="T-0010"/>
    <d v="2026-09-13T00:00:00"/>
    <s v="ERP_B"/>
    <s v="SUP-0032"/>
    <s v="Velawek s.r.o."/>
    <s v="vat_number"/>
    <s v="consistency"/>
    <s v="VAT ID contains spaces"/>
    <s v="Remove spaces during migration"/>
    <s v="Low"/>
    <s v="In Progress"/>
    <s v="M. Chen"/>
    <m/>
    <x v="1"/>
    <n v="22"/>
    <n v="20"/>
    <x v="1"/>
  </r>
  <r>
    <s v="T-0011"/>
    <d v="2026-10-02T00:00:00"/>
    <s v="ERP_B"/>
    <s v="SUP-0055"/>
    <s v="Aquaparts  GmbH"/>
    <s v="vat_number"/>
    <s v="consistency"/>
    <s v="VAT ID contains spaces"/>
    <s v="Remove spaces during migration"/>
    <s v="Low"/>
    <s v="Open"/>
    <s v="A. Weber"/>
    <m/>
    <x v="0"/>
    <n v="3"/>
    <n v="20"/>
    <x v="0"/>
  </r>
  <r>
    <s v="T-0012"/>
    <d v="2026-09-30T00:00:00"/>
    <s v="ERP_B"/>
    <s v="SUP-0074"/>
    <s v="Silbercast  GmbH"/>
    <s v="vat_number"/>
    <s v="consistency"/>
    <s v="VAT ID contains spaces"/>
    <s v="Remove spaces during migration"/>
    <s v="Low"/>
    <s v="Closed"/>
    <s v="J. Novak"/>
    <d v="2026-10-05T00:00:00"/>
    <x v="3"/>
    <n v="5"/>
    <n v="20"/>
    <x v="0"/>
  </r>
  <r>
    <s v="T-0013"/>
    <d v="2026-09-06T00:00:00"/>
    <s v="ERP_B"/>
    <s v="SUP-0025"/>
    <s v="Rheinmeal s.r.o."/>
    <s v="vat_number"/>
    <s v="consistency"/>
    <s v="VAT ID contains spaces"/>
    <s v="Remove spaces during migration"/>
    <s v="Low"/>
    <s v="Closed"/>
    <s v="L. Rossi"/>
    <d v="2026-09-12T00:00:00"/>
    <x v="3"/>
    <n v="6"/>
    <n v="20"/>
    <x v="0"/>
  </r>
  <r>
    <s v="T-0014"/>
    <d v="2026-10-03T00:00:00"/>
    <s v="ERP_B"/>
    <s v="SUP-0006"/>
    <s v="Vltatronic Sp. z o.o."/>
    <s v="country"/>
    <s v="consistency"/>
    <s v="Country is not a standard English name / ISO code"/>
    <s v="Map to ISO code PL"/>
    <s v="Medium"/>
    <s v="In Progress"/>
    <s v="A. Weber"/>
    <m/>
    <x v="0"/>
    <n v="2"/>
    <n v="10"/>
    <x v="0"/>
  </r>
  <r>
    <s v="T-0015"/>
    <d v="2026-09-07T00:00:00"/>
    <s v="ERP_B"/>
    <s v="SUP-0060"/>
    <s v="KRAFTFORM SAS"/>
    <s v="vat_number"/>
    <s v="consistency"/>
    <s v="VAT ID contains spaces"/>
    <s v="Remove spaces during migration"/>
    <s v="Low"/>
    <s v="In Progress"/>
    <s v="M. Chen"/>
    <m/>
    <x v="4"/>
    <n v="28"/>
    <n v="20"/>
    <x v="1"/>
  </r>
  <r>
    <s v="T-0016"/>
    <d v="2026-09-25T00:00:00"/>
    <s v="ERP_B"/>
    <s v="SUP-0056"/>
    <s v="Teraplast GmbH"/>
    <s v="vat_number"/>
    <s v="consistency"/>
    <s v="VAT ID contains spaces"/>
    <s v="Remove spaces during migration"/>
    <s v="Low"/>
    <s v="Open"/>
    <s v="A. Weber"/>
    <m/>
    <x v="2"/>
    <n v="10"/>
    <n v="20"/>
    <x v="0"/>
  </r>
  <r>
    <s v="T-0017"/>
    <d v="2026-09-01T00:00:00"/>
    <s v="ERP_B"/>
    <s v="SUP-0012"/>
    <s v="Boracast GmbH"/>
    <s v="vat_number"/>
    <s v="consistency"/>
    <s v="VAT ID contains spaces"/>
    <s v="Remove spaces during migration"/>
    <s v="Low"/>
    <s v="Open"/>
    <s v="A. Weber"/>
    <m/>
    <x v="3"/>
    <n v="34"/>
    <n v="20"/>
    <x v="1"/>
  </r>
  <r>
    <s v="T-0018"/>
    <d v="2026-10-01T00:00:00"/>
    <s v="ERP_B"/>
    <s v="SUP-0001"/>
    <s v="FERROMETAL GMBH"/>
    <s v="vat_number"/>
    <s v="consistency"/>
    <s v="VAT ID contains spaces"/>
    <s v="Remove spaces during migration"/>
    <s v="Low"/>
    <s v="In Progress"/>
    <s v="S. Kaya"/>
    <m/>
    <x v="1"/>
    <n v="4"/>
    <n v="20"/>
    <x v="0"/>
  </r>
  <r>
    <s v="T-0019"/>
    <d v="2026-09-27T00:00:00"/>
    <s v="ERP_B"/>
    <s v="SUP-0008"/>
    <s v="KRAFTGUSS S.R.O."/>
    <s v="vat_number"/>
    <s v="consistency"/>
    <s v="VAT ID contains spaces"/>
    <s v="Remove spaces during migration"/>
    <s v="Low"/>
    <s v="Open"/>
    <s v="L. Rossi"/>
    <m/>
    <x v="0"/>
    <n v="8"/>
    <n v="20"/>
    <x v="0"/>
  </r>
  <r>
    <s v="T-0020"/>
    <d v="2026-09-18T00:00:00"/>
    <s v="ERP_B"/>
    <s v="SUP-0005"/>
    <s v="Ferrocast  GmbH"/>
    <s v="country"/>
    <s v="consistency"/>
    <s v="Country is not a standard English name / ISO code"/>
    <s v="Map to ISO code DE"/>
    <s v="Medium"/>
    <s v="In Progress"/>
    <s v="M. Chen"/>
    <m/>
    <x v="4"/>
    <n v="17"/>
    <n v="10"/>
    <x v="1"/>
  </r>
  <r>
    <s v="T-0021"/>
    <d v="2026-09-22T00:00:00"/>
    <s v="ERP_B"/>
    <s v="SUP-0039"/>
    <s v="Atlastronc GmbH"/>
    <s v="vat_number"/>
    <s v="consistency"/>
    <s v="VAT ID contains spaces"/>
    <s v="Remove spaces during migration"/>
    <s v="Low"/>
    <s v="Open"/>
    <s v="S. Kaya"/>
    <m/>
    <x v="3"/>
    <n v="13"/>
    <n v="20"/>
    <x v="0"/>
  </r>
  <r>
    <s v="T-0022"/>
    <d v="2026-09-08T00:00:00"/>
    <s v="ERP_B"/>
    <s v="SUP-0040"/>
    <s v="Ventoguss"/>
    <s v="vat_number"/>
    <s v="consistency"/>
    <s v="VAT ID contains spaces"/>
    <s v="Remove spaces during migration"/>
    <s v="Low"/>
    <s v="Open"/>
    <s v="A. Weber"/>
    <m/>
    <x v="0"/>
    <n v="27"/>
    <n v="20"/>
    <x v="1"/>
  </r>
  <r>
    <s v="T-0023"/>
    <d v="2026-09-01T00:00:00"/>
    <s v="ERP_B"/>
    <s v="SUP-0058"/>
    <s v="Deltaflex  Sp.  z  o.o."/>
    <s v="vat_number"/>
    <s v="consistency"/>
    <s v="VAT ID contains spaces"/>
    <s v="Remove spaces during migration"/>
    <s v="Low"/>
    <s v="Open"/>
    <s v="S. Kaya"/>
    <m/>
    <x v="2"/>
    <n v="34"/>
    <n v="20"/>
    <x v="1"/>
  </r>
  <r>
    <s v="T-0024"/>
    <d v="2026-09-12T00:00:00"/>
    <s v="ERP_B"/>
    <s v="SUP-0024"/>
    <s v="Velacast  GmbH"/>
    <s v="vat_number"/>
    <s v="consistency"/>
    <s v="VAT ID contains spaces"/>
    <s v="Remove spaces during migration"/>
    <s v="Low"/>
    <s v="Closed"/>
    <s v="S. Kaya"/>
    <d v="2026-09-16T00:00:00"/>
    <x v="1"/>
    <n v="4"/>
    <n v="20"/>
    <x v="0"/>
  </r>
  <r>
    <s v="T-0025"/>
    <d v="2026-10-03T00:00:00"/>
    <s v="ERP_B"/>
    <s v="SUP-0069"/>
    <s v="Kraftflex"/>
    <s v="vat_number"/>
    <s v="consistency"/>
    <s v="VAT ID contains spaces"/>
    <s v="Remove spaces during migration"/>
    <s v="Low"/>
    <s v="Open"/>
    <s v="L. Rossi"/>
    <m/>
    <x v="0"/>
    <n v="2"/>
    <n v="20"/>
    <x v="0"/>
  </r>
  <r>
    <s v="T-0026"/>
    <d v="2026-09-27T00:00:00"/>
    <s v="ERP_A"/>
    <s v="0000100055"/>
    <s v="Deltaplast GmbH"/>
    <s v="terms"/>
    <s v="completeness"/>
    <s v="Mandatory field 'terms' is empty"/>
    <s v="Request value from supplier / purchasing"/>
    <s v="Medium"/>
    <s v="Closed"/>
    <s v="S. Kaya"/>
    <d v="2026-09-29T00:00:00"/>
    <x v="3"/>
    <n v="2"/>
    <n v="10"/>
    <x v="0"/>
  </r>
  <r>
    <s v="T-0027"/>
    <d v="2026-09-27T00:00:00"/>
    <s v="ERP_A"/>
    <s v="0000100186"/>
    <s v="Alpentronic GmbH"/>
    <s v="vat"/>
    <s v="completeness"/>
    <s v="Mandatory field 'vat' is empty"/>
    <s v="Request value from supplier / purchasing"/>
    <s v="High"/>
    <s v="Closed"/>
    <s v="M. Chen"/>
    <d v="2026-09-28T00:00:00"/>
    <x v="1"/>
    <n v="1"/>
    <n v="5"/>
    <x v="0"/>
  </r>
  <r>
    <s v="T-0028"/>
    <d v="2026-09-20T00:00:00"/>
    <s v="ERP_A"/>
    <s v="0000100334"/>
    <s v="Lumencast GmbH"/>
    <s v="iban"/>
    <s v="completeness"/>
    <s v="Mandatory field 'iban' is empty"/>
    <s v="Request value from supplier / purchasing"/>
    <s v="High"/>
    <s v="Closed"/>
    <s v="L. Rossi"/>
    <d v="2026-09-21T00:00:00"/>
    <x v="4"/>
    <n v="1"/>
    <n v="5"/>
    <x v="0"/>
  </r>
  <r>
    <s v="T-0029"/>
    <d v="2026-09-12T00:00:00"/>
    <s v="ERP_A"/>
    <s v="0000100334"/>
    <s v="Lumencast GmbH"/>
    <s v="terms"/>
    <s v="completeness"/>
    <s v="Mandatory field 'terms' is empty"/>
    <s v="Request value from supplier / purchasing"/>
    <s v="Medium"/>
    <s v="In Progress"/>
    <s v="J. Novak"/>
    <m/>
    <x v="4"/>
    <n v="23"/>
    <n v="10"/>
    <x v="1"/>
  </r>
  <r>
    <s v="T-0030"/>
    <d v="2026-09-07T00:00:00"/>
    <s v="ERP_A"/>
    <s v="0000100247"/>
    <s v="Voltaflex GmbH"/>
    <s v="vat"/>
    <s v="completeness"/>
    <s v="Mandatory field 'vat' is empty"/>
    <s v="Request value from supplier / purchasing"/>
    <s v="High"/>
    <s v="Open"/>
    <s v="L. Rossi"/>
    <m/>
    <x v="2"/>
    <n v="28"/>
    <n v="5"/>
    <x v="1"/>
  </r>
  <r>
    <s v="T-0031"/>
    <d v="2026-09-14T00:00:00"/>
    <s v="ERP_A"/>
    <s v="0000100168"/>
    <s v="Kraftseal S.r.l."/>
    <s v="iban"/>
    <s v="completeness"/>
    <s v="Mandatory field 'iban' is empty"/>
    <s v="Request value from supplier / purchasing"/>
    <s v="High"/>
    <s v="In Progress"/>
    <s v="A. Weber"/>
    <m/>
    <x v="1"/>
    <n v="21"/>
    <n v="5"/>
    <x v="1"/>
  </r>
  <r>
    <s v="T-0032"/>
    <d v="2026-09-22T00:00:00"/>
    <s v="ERP_A"/>
    <s v="0000100216"/>
    <s v="Alpenwerk GmbH"/>
    <s v="terms"/>
    <s v="completeness"/>
    <s v="Mandatory field 'terms' is empty"/>
    <s v="Request value from supplier / purchasing"/>
    <s v="Medium"/>
    <s v="Closed"/>
    <s v="A. Weber"/>
    <d v="2026-09-29T00:00:00"/>
    <x v="4"/>
    <n v="7"/>
    <n v="10"/>
    <x v="0"/>
  </r>
  <r>
    <s v="T-0033"/>
    <d v="2026-09-05T00:00:00"/>
    <s v="ERP_A"/>
    <s v="0000100367"/>
    <s v="Ferroparts GmbH"/>
    <s v="vat"/>
    <s v="validity"/>
    <s v="VAT ID does not match the DE format"/>
    <s v="Verify VAT ID (e.g. EU VIES check)"/>
    <s v="High"/>
    <s v="Open"/>
    <s v="J. Novak"/>
    <m/>
    <x v="1"/>
    <n v="30"/>
    <n v="5"/>
    <x v="1"/>
  </r>
  <r>
    <s v="T-0034"/>
    <d v="2026-09-16T00:00:00"/>
    <s v="ERP_A"/>
    <s v="0000100153"/>
    <s v="Atlasplast Sp. z o.o."/>
    <s v="vat"/>
    <s v="validity"/>
    <s v="VAT ID does not match the PL format"/>
    <s v="Verify VAT ID (e.g. EU VIES check)"/>
    <s v="High"/>
    <s v="Open"/>
    <s v="M. Chen"/>
    <m/>
    <x v="1"/>
    <n v="19"/>
    <n v="5"/>
    <x v="1"/>
  </r>
  <r>
    <s v="T-0035"/>
    <d v="2026-09-24T00:00:00"/>
    <s v="ERP_A"/>
    <s v="0000100162"/>
    <s v="Tauroform Sp. z o.o."/>
    <s v="iban"/>
    <s v="completeness"/>
    <s v="Mandatory field 'iban' is empty"/>
    <s v="Request value from supplier / purchasing"/>
    <s v="High"/>
    <s v="Waiting"/>
    <s v="L. Rossi"/>
    <m/>
    <x v="0"/>
    <n v="11"/>
    <n v="5"/>
    <x v="1"/>
  </r>
  <r>
    <s v="T-0036"/>
    <d v="2026-10-01T00:00:00"/>
    <s v="ERP_A"/>
    <s v="0000100071"/>
    <s v="Cerrowerk Sp. z o.o."/>
    <s v="vat"/>
    <s v="completeness"/>
    <s v="Mandatory field 'vat' is empty"/>
    <s v="Request value from supplier / purchasing"/>
    <s v="High"/>
    <s v="Closed"/>
    <s v="S. Kaya"/>
    <d v="2026-10-04T00:00:00"/>
    <x v="2"/>
    <n v="3"/>
    <n v="5"/>
    <x v="0"/>
  </r>
  <r>
    <s v="T-0037"/>
    <d v="2026-09-12T00:00:00"/>
    <s v="ERP_A"/>
    <s v="0000100011"/>
    <s v="Novaform GmbH"/>
    <s v="iban"/>
    <s v="validity"/>
    <s v="IBAN fails length or check-digit test"/>
    <s v="Block payments until bank data is confirmed"/>
    <s v="High"/>
    <s v="Waiting"/>
    <s v="M. Chen"/>
    <m/>
    <x v="4"/>
    <n v="23"/>
    <n v="5"/>
    <x v="1"/>
  </r>
  <r>
    <s v="T-0038"/>
    <d v="2026-09-15T00:00:00"/>
    <s v="ERP_A"/>
    <s v="0000100387"/>
    <s v="Lumenparts GmbH"/>
    <s v="vat"/>
    <s v="completeness"/>
    <s v="Mandatory field 'vat' is empty"/>
    <s v="Request value from supplier / purchasing"/>
    <s v="High"/>
    <s v="Closed"/>
    <s v="L. Rossi"/>
    <d v="2026-09-19T00:00:00"/>
    <x v="3"/>
    <n v="4"/>
    <n v="5"/>
    <x v="0"/>
  </r>
  <r>
    <s v="T-0039"/>
    <d v="2026-09-11T00:00:00"/>
    <s v="ERP_A"/>
    <s v="0000100019"/>
    <s v="Ferrocast GmbH"/>
    <s v="iban"/>
    <s v="completeness"/>
    <s v="Mandatory field 'iban' is empty"/>
    <s v="Request value from supplier / purchasing"/>
    <s v="High"/>
    <s v="Closed"/>
    <s v="L. Rossi"/>
    <d v="2026-09-20T00:00:00"/>
    <x v="4"/>
    <n v="9"/>
    <n v="5"/>
    <x v="1"/>
  </r>
  <r>
    <s v="T-0040"/>
    <d v="2026-09-25T00:00:00"/>
    <s v="ERP_A"/>
    <s v="0000100314"/>
    <s v="Voltaplast GmbH"/>
    <s v="terms"/>
    <s v="completeness"/>
    <s v="Mandatory field 'terms' is empty"/>
    <s v="Request value from supplier / purchasing"/>
    <s v="Medium"/>
    <s v="Closed"/>
    <s v="A. Weber"/>
    <d v="2026-10-05T00:00:00"/>
    <x v="2"/>
    <n v="10"/>
    <n v="10"/>
    <x v="0"/>
  </r>
  <r>
    <s v="T-0041"/>
    <d v="2026-09-27T00:00:00"/>
    <s v="ERP_A"/>
    <s v="0000100302"/>
    <s v="Boraline GmbH"/>
    <s v="vat"/>
    <s v="completeness"/>
    <s v="Mandatory field 'vat' is empty"/>
    <s v="Request value from supplier / purchasing"/>
    <s v="High"/>
    <s v="Open"/>
    <s v="A. Weber"/>
    <m/>
    <x v="0"/>
    <n v="8"/>
    <n v="5"/>
    <x v="1"/>
  </r>
  <r>
    <s v="T-0042"/>
    <d v="2026-09-03T00:00:00"/>
    <s v="ERP_A"/>
    <s v="0000100127"/>
    <s v="Rheinplast S.r.l."/>
    <s v="terms"/>
    <s v="completeness"/>
    <s v="Mandatory field 'terms' is empty"/>
    <s v="Request value from supplier / purchasing"/>
    <s v="Medium"/>
    <s v="In Progress"/>
    <s v="M. Chen"/>
    <m/>
    <x v="3"/>
    <n v="32"/>
    <n v="10"/>
    <x v="1"/>
  </r>
  <r>
    <s v="T-0043"/>
    <d v="2026-09-16T00:00:00"/>
    <s v="ERP_A"/>
    <s v="0000100007"/>
    <s v="Terraparts GmbH"/>
    <s v="vat"/>
    <s v="validity"/>
    <s v="VAT ID does not match the DE format"/>
    <s v="Verify VAT ID (e.g. EU VIES check)"/>
    <s v="High"/>
    <s v="Closed"/>
    <s v="M. Chen"/>
    <d v="2026-09-23T00:00:00"/>
    <x v="2"/>
    <n v="7"/>
    <n v="5"/>
    <x v="1"/>
  </r>
  <r>
    <s v="T-0044"/>
    <d v="2026-09-27T00:00:00"/>
    <s v="ERP_A"/>
    <s v="0000100224"/>
    <s v="Ventometal GmbH"/>
    <s v="iban"/>
    <s v="validity"/>
    <s v="IBAN fails length or check-digit test"/>
    <s v="Block payments until bank data is confirmed"/>
    <s v="High"/>
    <s v="Closed"/>
    <s v="S. Kaya"/>
    <d v="2026-10-05T00:00:00"/>
    <x v="3"/>
    <n v="8"/>
    <n v="5"/>
    <x v="1"/>
  </r>
  <r>
    <s v="T-0045"/>
    <d v="2026-09-19T00:00:00"/>
    <s v="ERP_A"/>
    <s v="0000100030"/>
    <s v="Nordwerk GmbH"/>
    <s v="vat"/>
    <s v="validity"/>
    <s v="VAT ID does not match the AT format"/>
    <s v="Verify VAT ID (e.g. EU VIES check)"/>
    <s v="High"/>
    <s v="In Progress"/>
    <s v="A. Weber"/>
    <m/>
    <x v="4"/>
    <n v="16"/>
    <n v="5"/>
    <x v="1"/>
  </r>
  <r>
    <s v="T-0046"/>
    <d v="2026-09-09T00:00:00"/>
    <s v="ERP_A"/>
    <s v="0000100132"/>
    <s v="Silberwerk s.r.o."/>
    <s v="vat"/>
    <s v="completeness"/>
    <s v="Mandatory field 'vat' is empty"/>
    <s v="Request value from supplier / purchasing"/>
    <s v="High"/>
    <s v="Open"/>
    <s v="J. Novak"/>
    <m/>
    <x v="2"/>
    <n v="26"/>
    <n v="5"/>
    <x v="1"/>
  </r>
  <r>
    <s v="T-0047"/>
    <d v="2026-09-05T00:00:00"/>
    <s v="ERP_B"/>
    <s v="SUP-0023"/>
    <s v="Cerroline GmbH"/>
    <s v="vat"/>
    <s v="completeness"/>
    <s v="Mandatory field 'vat' is empty"/>
    <s v="Request value from supplier / purchasing"/>
    <s v="High"/>
    <s v="In Progress"/>
    <s v="L. Rossi"/>
    <m/>
    <x v="2"/>
    <n v="30"/>
    <n v="5"/>
    <x v="1"/>
  </r>
  <r>
    <s v="T-0048"/>
    <d v="2026-09-02T00:00:00"/>
    <s v="ERP_B"/>
    <s v="SUP-0042"/>
    <s v="Voltawerk"/>
    <s v="vat"/>
    <s v="completeness"/>
    <s v="Mandatory field 'vat' is empty"/>
    <s v="Request value from supplier / purchasing"/>
    <s v="High"/>
    <s v="Open"/>
    <s v="S. Kaya"/>
    <m/>
    <x v="0"/>
    <n v="33"/>
    <n v="5"/>
    <x v="1"/>
  </r>
  <r>
    <s v="T-0049"/>
    <d v="2026-09-29T00:00:00"/>
    <s v="ERP_B"/>
    <s v="SUP-0054"/>
    <s v="Boralne GmbH"/>
    <s v="postcode"/>
    <s v="completeness"/>
    <s v="Mandatory field 'postcode' is empty"/>
    <s v="Request value from supplier / purchasing"/>
    <s v="Medium"/>
    <s v="Open"/>
    <s v="A. Weber"/>
    <m/>
    <x v="0"/>
    <n v="6"/>
    <n v="10"/>
    <x v="0"/>
  </r>
  <r>
    <s v="T-0050"/>
    <d v="2026-09-12T00:00:00"/>
    <s v="ERP_B"/>
    <s v="SUP-0041"/>
    <s v="Cerroparts"/>
    <s v="vat"/>
    <s v="completeness"/>
    <s v="Mandatory field 'vat' is empty"/>
    <s v="Request value from supplier / purchasing"/>
    <s v="High"/>
    <s v="In Progress"/>
    <s v="J. Novak"/>
    <m/>
    <x v="1"/>
    <n v="23"/>
    <n v="5"/>
    <x v="1"/>
  </r>
  <r>
    <s v="T-0051"/>
    <d v="2026-09-09T00:00:00"/>
    <s v="ERP_B"/>
    <s v="SUP-0041"/>
    <s v="Cerroparts"/>
    <s v="postcode"/>
    <s v="validity"/>
    <s v="Postcode length is wrong for DE"/>
    <s v="Correct postcode"/>
    <s v="Medium"/>
    <s v="Open"/>
    <s v="L. Rossi"/>
    <m/>
    <x v="1"/>
    <n v="26"/>
    <n v="10"/>
    <x v="1"/>
  </r>
  <r>
    <s v="T-0052"/>
    <d v="2026-09-29T00:00:00"/>
    <s v="ERP_B"/>
    <s v="SUP-0044"/>
    <s v="Novasel GmbH"/>
    <s v="postcode"/>
    <s v="completeness"/>
    <s v="Mandatory field 'postcode' is empty"/>
    <s v="Request value from supplier / purchasing"/>
    <s v="Medium"/>
    <s v="Closed"/>
    <s v="J. Novak"/>
    <d v="2026-10-05T00:00:00"/>
    <x v="4"/>
    <n v="6"/>
    <n v="10"/>
    <x v="0"/>
  </r>
  <r>
    <s v="T-0053"/>
    <d v="2026-09-09T00:00:00"/>
    <s v="ERP_B"/>
    <s v="SUP-0061"/>
    <s v="Boraetal Sp. z o.o."/>
    <s v="vat"/>
    <s v="completeness"/>
    <s v="Mandatory field 'vat' is empty"/>
    <s v="Request value from supplier / purchasing"/>
    <s v="High"/>
    <s v="Waiting"/>
    <s v="A. Weber"/>
    <m/>
    <x v="3"/>
    <n v="26"/>
    <n v="5"/>
    <x v="1"/>
  </r>
  <r>
    <s v="T-0054"/>
    <d v="2026-10-01T00:00:00"/>
    <s v="ERP_B"/>
    <s v="SUP-0030"/>
    <s v="Kraftcast  Sp.  z  o.o."/>
    <s v="postcode"/>
    <s v="validity"/>
    <s v="Postcode length is wrong for PL"/>
    <s v="Correct postcode"/>
    <s v="Medium"/>
    <s v="Closed"/>
    <s v="A. Weber"/>
    <d v="2026-10-05T00:00:00"/>
    <x v="1"/>
    <n v="4"/>
    <n v="10"/>
    <x v="0"/>
  </r>
  <r>
    <s v="T-0055"/>
    <d v="2026-09-02T00:00:00"/>
    <s v="ERP_B"/>
    <s v="SUP-0025"/>
    <s v="Rheinmeal s.r.o."/>
    <s v="postcode"/>
    <s v="completeness"/>
    <s v="Mandatory field 'postcode' is empty"/>
    <s v="Request value from supplier / purchasing"/>
    <s v="Medium"/>
    <s v="Waiting"/>
    <s v="A. Weber"/>
    <m/>
    <x v="3"/>
    <n v="33"/>
    <n v="10"/>
    <x v="1"/>
  </r>
  <r>
    <s v="T-0056"/>
    <d v="2026-10-01T00:00:00"/>
    <s v="ERP_B"/>
    <s v="SUP-0020"/>
    <s v="Polarmetal"/>
    <s v="vat"/>
    <s v="completeness"/>
    <s v="Mandatory field 'vat' is empty"/>
    <s v="Request value from supplier / purchasing"/>
    <s v="High"/>
    <s v="Open"/>
    <s v="M. Chen"/>
    <m/>
    <x v="4"/>
    <n v="4"/>
    <n v="5"/>
    <x v="0"/>
  </r>
  <r>
    <s v="T-0057"/>
    <d v="2026-09-21T00:00:00"/>
    <s v="ERP_A"/>
    <s v="0000100234"/>
    <s v="Nordcast Sp. z o.o."/>
    <s v="record"/>
    <s v="uniqueness"/>
    <s v="Possible duplicate of 0000100417 (Same VAT ID)"/>
    <s v="Merge into one record before migration"/>
    <s v="High"/>
    <s v="Open"/>
    <s v="A. Weber"/>
    <m/>
    <x v="0"/>
    <n v="14"/>
    <n v="5"/>
    <x v="1"/>
  </r>
  <r>
    <s v="T-0058"/>
    <d v="2026-09-05T00:00:00"/>
    <s v="ERP_A"/>
    <s v="0000100238"/>
    <s v="Primaform S.r.l."/>
    <s v="record"/>
    <s v="uniqueness"/>
    <s v="Possible duplicate of 0000100422 (Same VAT ID)"/>
    <s v="Merge into one record before migration"/>
    <s v="High"/>
    <s v="In Progress"/>
    <s v="M. Chen"/>
    <m/>
    <x v="1"/>
    <n v="30"/>
    <n v="5"/>
    <x v="1"/>
  </r>
  <r>
    <s v="T-0059"/>
    <d v="2026-09-03T00:00:00"/>
    <s v="ERP_A"/>
    <s v="0000100177"/>
    <s v="Atlasguss GmbH"/>
    <s v="record"/>
    <s v="uniqueness"/>
    <s v="Possible duplicate of 0000100412 (Same VAT ID)"/>
    <s v="Merge into one record before migration"/>
    <s v="High"/>
    <s v="Closed"/>
    <s v="M. Chen"/>
    <d v="2026-09-06T00:00:00"/>
    <x v="3"/>
    <n v="3"/>
    <n v="5"/>
    <x v="0"/>
  </r>
  <r>
    <s v="T-0060"/>
    <d v="2026-09-23T00:00:00"/>
    <s v="ERP_A"/>
    <s v="0000100418"/>
    <s v="Lumenform  GmbH"/>
    <s v="record"/>
    <s v="uniqueness"/>
    <s v="Possible duplicate of 0000100192 (Same VAT ID)"/>
    <s v="Merge into one record before migration"/>
    <s v="High"/>
    <s v="Open"/>
    <s v="S. Kaya"/>
    <m/>
    <x v="2"/>
    <n v="12"/>
    <n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F7C93B-80DE-0C41-978F-59480CEB1DA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:D15" firstHeaderRow="1" firstDataRow="2" firstDataCol="1"/>
  <pivotFields count="17">
    <pivotField dataField="1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4"/>
        <item x="3"/>
        <item x="1"/>
        <item t="default"/>
      </items>
    </pivotField>
    <pivotField showAll="0"/>
    <pivotField showAll="0"/>
    <pivotField axis="axisCol" showAll="0">
      <items count="3">
        <item x="1"/>
        <item x="0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Ticket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Q61" totalsRowShown="0" headerRowDxfId="9">
  <autoFilter ref="A1:Q61" xr:uid="{CA4F919C-D01A-DA41-A42E-110E3B4395C0}"/>
  <tableColumns count="17">
    <tableColumn id="1" xr3:uid="{BE142A8F-F154-1044-B387-8577F406E53F}" name="Ticket ID"/>
    <tableColumn id="2" xr3:uid="{D3303C1F-3E66-9847-9F7D-1BAB0A591DCB}" name="Created On" dataDxfId="8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7"/>
    <tableColumn id="14" xr3:uid="{5E7D163A-759D-984D-A1ED-C1B920E4AFE3}" name="Segment" dataDxfId="6">
      <calculatedColumnFormula>_xlfn.XLOOKUP(tblTickets[[#This Row],[Record ID]],Suppliers!A:A,Suppliers!E:E,"Not found")</calculatedColumnFormula>
    </tableColumn>
    <tableColumn id="15" xr3:uid="{7A46C142-8722-F24D-90F5-98A7C1A349EE}" name="Age (days)" dataDxfId="5">
      <calculatedColumnFormula>IF(tblTickets[[#This Row],[Closed On]]="",TODAY()-tblTickets[[#This Row],[Created On]],tblTickets[[#This Row],[Closed On]]-tblTickets[[#This Row],[Created On]])</calculatedColumnFormula>
    </tableColumn>
    <tableColumn id="16" xr3:uid="{4846F765-EDED-4B44-9C2B-4A17E4417593}" name="SLA (days)" dataDxfId="4">
      <calculatedColumnFormula>_xlfn.XLOOKUP(tblTickets[[#This Row],[Priority]],Lists!B:B,Lists!C:C)</calculatedColumnFormula>
    </tableColumn>
    <tableColumn id="17" xr3:uid="{AD8149A7-3507-6C4D-829C-AB97FE40A20A}" name="SLA Status" dataDxfId="3">
      <calculatedColumnFormula>IF(tblTickets[[#This Row],[Age (days)]]&gt;tblTickets[[#This Row],[SLA (days)]],"Breached","OK")</calculatedColumnFormula>
    </tableColumn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9E95-5F09-DC49-B9BC-77DD19A10A22}">
  <dimension ref="A1:D15"/>
  <sheetViews>
    <sheetView tabSelected="1" workbookViewId="0">
      <selection activeCell="A8" sqref="A8"/>
    </sheetView>
  </sheetViews>
  <sheetFormatPr baseColWidth="10" defaultRowHeight="15" x14ac:dyDescent="0.2"/>
  <cols>
    <col min="1" max="1" width="22.6640625" bestFit="1" customWidth="1"/>
    <col min="2" max="2" width="14.83203125" bestFit="1" customWidth="1"/>
    <col min="3" max="3" width="3.33203125" bestFit="1" customWidth="1"/>
    <col min="4" max="4" width="10" bestFit="1" customWidth="1"/>
  </cols>
  <sheetData>
    <row r="1" spans="1:4" x14ac:dyDescent="0.2">
      <c r="A1" t="s">
        <v>560</v>
      </c>
    </row>
    <row r="3" spans="1:4" x14ac:dyDescent="0.2">
      <c r="A3" t="s">
        <v>561</v>
      </c>
      <c r="B3">
        <f>COUNTA(tblTickets[Ticket ID])</f>
        <v>60</v>
      </c>
    </row>
    <row r="4" spans="1:4" x14ac:dyDescent="0.2">
      <c r="A4" t="s">
        <v>562</v>
      </c>
      <c r="B4">
        <f>COUNTIF(tblTickets[Status],"&lt;&gt;Closed")</f>
        <v>39</v>
      </c>
    </row>
    <row r="5" spans="1:4" x14ac:dyDescent="0.2">
      <c r="A5" t="s">
        <v>563</v>
      </c>
      <c r="B5">
        <f ca="1">COUNTIFS(tblTickets[Status],"&lt;&gt;Closed",tblTickets[SLA Status],"Breached")</f>
        <v>29</v>
      </c>
    </row>
    <row r="8" spans="1:4" x14ac:dyDescent="0.2">
      <c r="A8" s="5" t="s">
        <v>569</v>
      </c>
      <c r="B8" s="5" t="s">
        <v>566</v>
      </c>
    </row>
    <row r="9" spans="1:4" x14ac:dyDescent="0.2">
      <c r="A9" s="5" t="s">
        <v>564</v>
      </c>
      <c r="B9" t="s">
        <v>567</v>
      </c>
      <c r="C9" t="s">
        <v>568</v>
      </c>
      <c r="D9" t="s">
        <v>565</v>
      </c>
    </row>
    <row r="10" spans="1:4" x14ac:dyDescent="0.2">
      <c r="A10" s="6" t="s">
        <v>245</v>
      </c>
      <c r="B10" s="4">
        <v>7</v>
      </c>
      <c r="C10" s="4">
        <v>7</v>
      </c>
      <c r="D10" s="4">
        <v>14</v>
      </c>
    </row>
    <row r="11" spans="1:4" x14ac:dyDescent="0.2">
      <c r="A11" s="6" t="s">
        <v>250</v>
      </c>
      <c r="B11" s="4">
        <v>6</v>
      </c>
      <c r="C11" s="4">
        <v>5</v>
      </c>
      <c r="D11" s="4">
        <v>11</v>
      </c>
    </row>
    <row r="12" spans="1:4" x14ac:dyDescent="0.2">
      <c r="A12" s="6" t="s">
        <v>285</v>
      </c>
      <c r="B12" s="4">
        <v>6</v>
      </c>
      <c r="C12" s="4">
        <v>5</v>
      </c>
      <c r="D12" s="4">
        <v>11</v>
      </c>
    </row>
    <row r="13" spans="1:4" x14ac:dyDescent="0.2">
      <c r="A13" s="6" t="s">
        <v>241</v>
      </c>
      <c r="B13" s="4">
        <v>6</v>
      </c>
      <c r="C13" s="4">
        <v>6</v>
      </c>
      <c r="D13" s="4">
        <v>12</v>
      </c>
    </row>
    <row r="14" spans="1:4" x14ac:dyDescent="0.2">
      <c r="A14" s="6" t="s">
        <v>269</v>
      </c>
      <c r="B14" s="4">
        <v>7</v>
      </c>
      <c r="C14" s="4">
        <v>5</v>
      </c>
      <c r="D14" s="4">
        <v>12</v>
      </c>
    </row>
    <row r="15" spans="1:4" x14ac:dyDescent="0.2">
      <c r="A15" s="6" t="s">
        <v>565</v>
      </c>
      <c r="B15" s="4">
        <v>32</v>
      </c>
      <c r="C15" s="4">
        <v>28</v>
      </c>
      <c r="D15" s="4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opLeftCell="F1" workbookViewId="0">
      <pane ySplit="1" topLeftCell="A2" activePane="bottomLeft" state="frozen"/>
      <selection pane="bottomLeft" activeCell="S16" sqref="S16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  <col min="17" max="17" width="10.664062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557</v>
      </c>
      <c r="P1" s="1" t="s">
        <v>558</v>
      </c>
      <c r="Q1" s="1" t="s">
        <v>559</v>
      </c>
    </row>
    <row r="2" spans="1:17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  <c r="P2">
        <f>_xlfn.XLOOKUP(tblTickets[[#This Row],[Priority]],Lists!B:B,Lists!C:C)</f>
        <v>20</v>
      </c>
      <c r="Q2" s="4" t="str">
        <f ca="1">IF(tblTickets[[#This Row],[Age (days)]]&gt;tblTickets[[#This Row],[SLA (days)]],"Breached","OK")</f>
        <v>OK</v>
      </c>
    </row>
    <row r="3" spans="1:17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  <c r="P3">
        <f>_xlfn.XLOOKUP(tblTickets[[#This Row],[Priority]],Lists!B:B,Lists!C:C)</f>
        <v>20</v>
      </c>
      <c r="Q3" s="4" t="str">
        <f ca="1">IF(tblTickets[[#This Row],[Age (days)]]&gt;tblTickets[[#This Row],[SLA (days)]],"Breached","OK")</f>
        <v>OK</v>
      </c>
    </row>
    <row r="4" spans="1:17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  <c r="P4">
        <f>_xlfn.XLOOKUP(tblTickets[[#This Row],[Priority]],Lists!B:B,Lists!C:C)</f>
        <v>20</v>
      </c>
      <c r="Q4" s="4" t="str">
        <f ca="1">IF(tblTickets[[#This Row],[Age (days)]]&gt;tblTickets[[#This Row],[SLA (days)]],"Breached","OK")</f>
        <v>OK</v>
      </c>
    </row>
    <row r="5" spans="1:17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  <c r="P5">
        <f>_xlfn.XLOOKUP(tblTickets[[#This Row],[Priority]],Lists!B:B,Lists!C:C)</f>
        <v>10</v>
      </c>
      <c r="Q5" s="4" t="str">
        <f ca="1">IF(tblTickets[[#This Row],[Age (days)]]&gt;tblTickets[[#This Row],[SLA (days)]],"Breached","OK")</f>
        <v>Breached</v>
      </c>
    </row>
    <row r="6" spans="1:17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  <c r="P6">
        <f>_xlfn.XLOOKUP(tblTickets[[#This Row],[Priority]],Lists!B:B,Lists!C:C)</f>
        <v>20</v>
      </c>
      <c r="Q6" s="4" t="str">
        <f ca="1">IF(tblTickets[[#This Row],[Age (days)]]&gt;tblTickets[[#This Row],[SLA (days)]],"Breached","OK")</f>
        <v>Breached</v>
      </c>
    </row>
    <row r="7" spans="1:17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  <c r="P7">
        <f>_xlfn.XLOOKUP(tblTickets[[#This Row],[Priority]],Lists!B:B,Lists!C:C)</f>
        <v>20</v>
      </c>
      <c r="Q7" s="4" t="str">
        <f ca="1">IF(tblTickets[[#This Row],[Age (days)]]&gt;tblTickets[[#This Row],[SLA (days)]],"Breached","OK")</f>
        <v>OK</v>
      </c>
    </row>
    <row r="8" spans="1:17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  <c r="P8">
        <f>_xlfn.XLOOKUP(tblTickets[[#This Row],[Priority]],Lists!B:B,Lists!C:C)</f>
        <v>20</v>
      </c>
      <c r="Q8" s="4" t="str">
        <f ca="1">IF(tblTickets[[#This Row],[Age (days)]]&gt;tblTickets[[#This Row],[SLA (days)]],"Breached","OK")</f>
        <v>OK</v>
      </c>
    </row>
    <row r="9" spans="1:17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  <c r="P9">
        <f>_xlfn.XLOOKUP(tblTickets[[#This Row],[Priority]],Lists!B:B,Lists!C:C)</f>
        <v>20</v>
      </c>
      <c r="Q9" s="4" t="str">
        <f ca="1">IF(tblTickets[[#This Row],[Age (days)]]&gt;tblTickets[[#This Row],[SLA (days)]],"Breached","OK")</f>
        <v>Breached</v>
      </c>
    </row>
    <row r="10" spans="1:17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  <c r="P10">
        <f>_xlfn.XLOOKUP(tblTickets[[#This Row],[Priority]],Lists!B:B,Lists!C:C)</f>
        <v>20</v>
      </c>
      <c r="Q10" s="4" t="str">
        <f ca="1">IF(tblTickets[[#This Row],[Age (days)]]&gt;tblTickets[[#This Row],[SLA (days)]],"Breached","OK")</f>
        <v>OK</v>
      </c>
    </row>
    <row r="11" spans="1:17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  <c r="P11">
        <f>_xlfn.XLOOKUP(tblTickets[[#This Row],[Priority]],Lists!B:B,Lists!C:C)</f>
        <v>20</v>
      </c>
      <c r="Q11" s="4" t="str">
        <f ca="1">IF(tblTickets[[#This Row],[Age (days)]]&gt;tblTickets[[#This Row],[SLA (days)]],"Breached","OK")</f>
        <v>Breached</v>
      </c>
    </row>
    <row r="12" spans="1:17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  <c r="P12">
        <f>_xlfn.XLOOKUP(tblTickets[[#This Row],[Priority]],Lists!B:B,Lists!C:C)</f>
        <v>20</v>
      </c>
      <c r="Q12" s="4" t="str">
        <f ca="1">IF(tblTickets[[#This Row],[Age (days)]]&gt;tblTickets[[#This Row],[SLA (days)]],"Breached","OK")</f>
        <v>OK</v>
      </c>
    </row>
    <row r="13" spans="1:17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  <c r="P13">
        <f>_xlfn.XLOOKUP(tblTickets[[#This Row],[Priority]],Lists!B:B,Lists!C:C)</f>
        <v>20</v>
      </c>
      <c r="Q13" s="4" t="str">
        <f ca="1">IF(tblTickets[[#This Row],[Age (days)]]&gt;tblTickets[[#This Row],[SLA (days)]],"Breached","OK")</f>
        <v>OK</v>
      </c>
    </row>
    <row r="14" spans="1:17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  <c r="P14">
        <f>_xlfn.XLOOKUP(tblTickets[[#This Row],[Priority]],Lists!B:B,Lists!C:C)</f>
        <v>20</v>
      </c>
      <c r="Q14" s="4" t="str">
        <f ca="1">IF(tblTickets[[#This Row],[Age (days)]]&gt;tblTickets[[#This Row],[SLA (days)]],"Breached","OK")</f>
        <v>OK</v>
      </c>
    </row>
    <row r="15" spans="1:17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  <c r="P15">
        <f>_xlfn.XLOOKUP(tblTickets[[#This Row],[Priority]],Lists!B:B,Lists!C:C)</f>
        <v>10</v>
      </c>
      <c r="Q15" s="4" t="str">
        <f ca="1">IF(tblTickets[[#This Row],[Age (days)]]&gt;tblTickets[[#This Row],[SLA (days)]],"Breached","OK")</f>
        <v>OK</v>
      </c>
    </row>
    <row r="16" spans="1:17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  <c r="P16">
        <f>_xlfn.XLOOKUP(tblTickets[[#This Row],[Priority]],Lists!B:B,Lists!C:C)</f>
        <v>20</v>
      </c>
      <c r="Q16" s="4" t="str">
        <f ca="1">IF(tblTickets[[#This Row],[Age (days)]]&gt;tblTickets[[#This Row],[SLA (days)]],"Breached","OK")</f>
        <v>Breached</v>
      </c>
    </row>
    <row r="17" spans="1:17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  <c r="P17">
        <f>_xlfn.XLOOKUP(tblTickets[[#This Row],[Priority]],Lists!B:B,Lists!C:C)</f>
        <v>20</v>
      </c>
      <c r="Q17" s="4" t="str">
        <f ca="1">IF(tblTickets[[#This Row],[Age (days)]]&gt;tblTickets[[#This Row],[SLA (days)]],"Breached","OK")</f>
        <v>OK</v>
      </c>
    </row>
    <row r="18" spans="1:17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  <c r="P18">
        <f>_xlfn.XLOOKUP(tblTickets[[#This Row],[Priority]],Lists!B:B,Lists!C:C)</f>
        <v>20</v>
      </c>
      <c r="Q18" s="4" t="str">
        <f ca="1">IF(tblTickets[[#This Row],[Age (days)]]&gt;tblTickets[[#This Row],[SLA (days)]],"Breached","OK")</f>
        <v>Breached</v>
      </c>
    </row>
    <row r="19" spans="1:17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  <c r="P19">
        <f>_xlfn.XLOOKUP(tblTickets[[#This Row],[Priority]],Lists!B:B,Lists!C:C)</f>
        <v>20</v>
      </c>
      <c r="Q19" s="4" t="str">
        <f ca="1">IF(tblTickets[[#This Row],[Age (days)]]&gt;tblTickets[[#This Row],[SLA (days)]],"Breached","OK")</f>
        <v>OK</v>
      </c>
    </row>
    <row r="20" spans="1:17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  <c r="P20">
        <f>_xlfn.XLOOKUP(tblTickets[[#This Row],[Priority]],Lists!B:B,Lists!C:C)</f>
        <v>20</v>
      </c>
      <c r="Q20" s="4" t="str">
        <f ca="1">IF(tblTickets[[#This Row],[Age (days)]]&gt;tblTickets[[#This Row],[SLA (days)]],"Breached","OK")</f>
        <v>OK</v>
      </c>
    </row>
    <row r="21" spans="1:17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  <c r="P21">
        <f>_xlfn.XLOOKUP(tblTickets[[#This Row],[Priority]],Lists!B:B,Lists!C:C)</f>
        <v>10</v>
      </c>
      <c r="Q21" s="4" t="str">
        <f ca="1">IF(tblTickets[[#This Row],[Age (days)]]&gt;tblTickets[[#This Row],[SLA (days)]],"Breached","OK")</f>
        <v>Breached</v>
      </c>
    </row>
    <row r="22" spans="1:17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  <c r="P22">
        <f>_xlfn.XLOOKUP(tblTickets[[#This Row],[Priority]],Lists!B:B,Lists!C:C)</f>
        <v>20</v>
      </c>
      <c r="Q22" s="4" t="str">
        <f ca="1">IF(tblTickets[[#This Row],[Age (days)]]&gt;tblTickets[[#This Row],[SLA (days)]],"Breached","OK")</f>
        <v>OK</v>
      </c>
    </row>
    <row r="23" spans="1:17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  <c r="P23">
        <f>_xlfn.XLOOKUP(tblTickets[[#This Row],[Priority]],Lists!B:B,Lists!C:C)</f>
        <v>20</v>
      </c>
      <c r="Q23" s="4" t="str">
        <f ca="1">IF(tblTickets[[#This Row],[Age (days)]]&gt;tblTickets[[#This Row],[SLA (days)]],"Breached","OK")</f>
        <v>Breached</v>
      </c>
    </row>
    <row r="24" spans="1:17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  <c r="P24">
        <f>_xlfn.XLOOKUP(tblTickets[[#This Row],[Priority]],Lists!B:B,Lists!C:C)</f>
        <v>20</v>
      </c>
      <c r="Q24" s="4" t="str">
        <f ca="1">IF(tblTickets[[#This Row],[Age (days)]]&gt;tblTickets[[#This Row],[SLA (days)]],"Breached","OK")</f>
        <v>Breached</v>
      </c>
    </row>
    <row r="25" spans="1:17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  <c r="P25">
        <f>_xlfn.XLOOKUP(tblTickets[[#This Row],[Priority]],Lists!B:B,Lists!C:C)</f>
        <v>20</v>
      </c>
      <c r="Q25" s="4" t="str">
        <f ca="1">IF(tblTickets[[#This Row],[Age (days)]]&gt;tblTickets[[#This Row],[SLA (days)]],"Breached","OK")</f>
        <v>OK</v>
      </c>
    </row>
    <row r="26" spans="1:17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  <c r="P26">
        <f>_xlfn.XLOOKUP(tblTickets[[#This Row],[Priority]],Lists!B:B,Lists!C:C)</f>
        <v>20</v>
      </c>
      <c r="Q26" s="4" t="str">
        <f ca="1">IF(tblTickets[[#This Row],[Age (days)]]&gt;tblTickets[[#This Row],[SLA (days)]],"Breached","OK")</f>
        <v>OK</v>
      </c>
    </row>
    <row r="27" spans="1:17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  <c r="P27">
        <f>_xlfn.XLOOKUP(tblTickets[[#This Row],[Priority]],Lists!B:B,Lists!C:C)</f>
        <v>10</v>
      </c>
      <c r="Q27" s="4" t="str">
        <f ca="1">IF(tblTickets[[#This Row],[Age (days)]]&gt;tblTickets[[#This Row],[SLA (days)]],"Breached","OK")</f>
        <v>OK</v>
      </c>
    </row>
    <row r="28" spans="1:17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  <c r="P28">
        <f>_xlfn.XLOOKUP(tblTickets[[#This Row],[Priority]],Lists!B:B,Lists!C:C)</f>
        <v>5</v>
      </c>
      <c r="Q28" s="4" t="str">
        <f ca="1">IF(tblTickets[[#This Row],[Age (days)]]&gt;tblTickets[[#This Row],[SLA (days)]],"Breached","OK")</f>
        <v>OK</v>
      </c>
    </row>
    <row r="29" spans="1:17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  <c r="P29">
        <f>_xlfn.XLOOKUP(tblTickets[[#This Row],[Priority]],Lists!B:B,Lists!C:C)</f>
        <v>5</v>
      </c>
      <c r="Q29" s="4" t="str">
        <f ca="1">IF(tblTickets[[#This Row],[Age (days)]]&gt;tblTickets[[#This Row],[SLA (days)]],"Breached","OK")</f>
        <v>OK</v>
      </c>
    </row>
    <row r="30" spans="1:17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  <c r="P30">
        <f>_xlfn.XLOOKUP(tblTickets[[#This Row],[Priority]],Lists!B:B,Lists!C:C)</f>
        <v>10</v>
      </c>
      <c r="Q30" s="4" t="str">
        <f ca="1">IF(tblTickets[[#This Row],[Age (days)]]&gt;tblTickets[[#This Row],[SLA (days)]],"Breached","OK")</f>
        <v>Breached</v>
      </c>
    </row>
    <row r="31" spans="1:17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  <c r="P31">
        <f>_xlfn.XLOOKUP(tblTickets[[#This Row],[Priority]],Lists!B:B,Lists!C:C)</f>
        <v>5</v>
      </c>
      <c r="Q31" s="4" t="str">
        <f ca="1">IF(tblTickets[[#This Row],[Age (days)]]&gt;tblTickets[[#This Row],[SLA (days)]],"Breached","OK")</f>
        <v>Breached</v>
      </c>
    </row>
    <row r="32" spans="1:17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  <c r="P32">
        <f>_xlfn.XLOOKUP(tblTickets[[#This Row],[Priority]],Lists!B:B,Lists!C:C)</f>
        <v>5</v>
      </c>
      <c r="Q32" s="4" t="str">
        <f ca="1">IF(tblTickets[[#This Row],[Age (days)]]&gt;tblTickets[[#This Row],[SLA (days)]],"Breached","OK")</f>
        <v>Breached</v>
      </c>
    </row>
    <row r="33" spans="1:17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  <c r="P33">
        <f>_xlfn.XLOOKUP(tblTickets[[#This Row],[Priority]],Lists!B:B,Lists!C:C)</f>
        <v>10</v>
      </c>
      <c r="Q33" s="4" t="str">
        <f ca="1">IF(tblTickets[[#This Row],[Age (days)]]&gt;tblTickets[[#This Row],[SLA (days)]],"Breached","OK")</f>
        <v>OK</v>
      </c>
    </row>
    <row r="34" spans="1:17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  <c r="P34">
        <f>_xlfn.XLOOKUP(tblTickets[[#This Row],[Priority]],Lists!B:B,Lists!C:C)</f>
        <v>5</v>
      </c>
      <c r="Q34" s="4" t="str">
        <f ca="1">IF(tblTickets[[#This Row],[Age (days)]]&gt;tblTickets[[#This Row],[SLA (days)]],"Breached","OK")</f>
        <v>Breached</v>
      </c>
    </row>
    <row r="35" spans="1:17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  <c r="P35">
        <f>_xlfn.XLOOKUP(tblTickets[[#This Row],[Priority]],Lists!B:B,Lists!C:C)</f>
        <v>5</v>
      </c>
      <c r="Q35" s="4" t="str">
        <f ca="1">IF(tblTickets[[#This Row],[Age (days)]]&gt;tblTickets[[#This Row],[SLA (days)]],"Breached","OK")</f>
        <v>Breached</v>
      </c>
    </row>
    <row r="36" spans="1:17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  <c r="P36">
        <f>_xlfn.XLOOKUP(tblTickets[[#This Row],[Priority]],Lists!B:B,Lists!C:C)</f>
        <v>5</v>
      </c>
      <c r="Q36" s="4" t="str">
        <f ca="1">IF(tblTickets[[#This Row],[Age (days)]]&gt;tblTickets[[#This Row],[SLA (days)]],"Breached","OK")</f>
        <v>Breached</v>
      </c>
    </row>
    <row r="37" spans="1:17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  <c r="P37">
        <f>_xlfn.XLOOKUP(tblTickets[[#This Row],[Priority]],Lists!B:B,Lists!C:C)</f>
        <v>5</v>
      </c>
      <c r="Q37" s="4" t="str">
        <f ca="1">IF(tblTickets[[#This Row],[Age (days)]]&gt;tblTickets[[#This Row],[SLA (days)]],"Breached","OK")</f>
        <v>OK</v>
      </c>
    </row>
    <row r="38" spans="1:17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  <c r="P38">
        <f>_xlfn.XLOOKUP(tblTickets[[#This Row],[Priority]],Lists!B:B,Lists!C:C)</f>
        <v>5</v>
      </c>
      <c r="Q38" s="4" t="str">
        <f ca="1">IF(tblTickets[[#This Row],[Age (days)]]&gt;tblTickets[[#This Row],[SLA (days)]],"Breached","OK")</f>
        <v>Breached</v>
      </c>
    </row>
    <row r="39" spans="1:17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  <c r="P39">
        <f>_xlfn.XLOOKUP(tblTickets[[#This Row],[Priority]],Lists!B:B,Lists!C:C)</f>
        <v>5</v>
      </c>
      <c r="Q39" s="4" t="str">
        <f ca="1">IF(tblTickets[[#This Row],[Age (days)]]&gt;tblTickets[[#This Row],[SLA (days)]],"Breached","OK")</f>
        <v>OK</v>
      </c>
    </row>
    <row r="40" spans="1:17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  <c r="P40">
        <f>_xlfn.XLOOKUP(tblTickets[[#This Row],[Priority]],Lists!B:B,Lists!C:C)</f>
        <v>5</v>
      </c>
      <c r="Q40" s="4" t="str">
        <f ca="1">IF(tblTickets[[#This Row],[Age (days)]]&gt;tblTickets[[#This Row],[SLA (days)]],"Breached","OK")</f>
        <v>Breached</v>
      </c>
    </row>
    <row r="41" spans="1:17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  <c r="P41">
        <f>_xlfn.XLOOKUP(tblTickets[[#This Row],[Priority]],Lists!B:B,Lists!C:C)</f>
        <v>10</v>
      </c>
      <c r="Q41" s="4" t="str">
        <f ca="1">IF(tblTickets[[#This Row],[Age (days)]]&gt;tblTickets[[#This Row],[SLA (days)]],"Breached","OK")</f>
        <v>OK</v>
      </c>
    </row>
    <row r="42" spans="1:17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  <c r="P42">
        <f>_xlfn.XLOOKUP(tblTickets[[#This Row],[Priority]],Lists!B:B,Lists!C:C)</f>
        <v>5</v>
      </c>
      <c r="Q42" s="4" t="str">
        <f ca="1">IF(tblTickets[[#This Row],[Age (days)]]&gt;tblTickets[[#This Row],[SLA (days)]],"Breached","OK")</f>
        <v>Breached</v>
      </c>
    </row>
    <row r="43" spans="1:17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  <c r="P43">
        <f>_xlfn.XLOOKUP(tblTickets[[#This Row],[Priority]],Lists!B:B,Lists!C:C)</f>
        <v>10</v>
      </c>
      <c r="Q43" s="4" t="str">
        <f ca="1">IF(tblTickets[[#This Row],[Age (days)]]&gt;tblTickets[[#This Row],[SLA (days)]],"Breached","OK")</f>
        <v>Breached</v>
      </c>
    </row>
    <row r="44" spans="1:17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  <c r="P44">
        <f>_xlfn.XLOOKUP(tblTickets[[#This Row],[Priority]],Lists!B:B,Lists!C:C)</f>
        <v>5</v>
      </c>
      <c r="Q44" s="4" t="str">
        <f ca="1">IF(tblTickets[[#This Row],[Age (days)]]&gt;tblTickets[[#This Row],[SLA (days)]],"Breached","OK")</f>
        <v>Breached</v>
      </c>
    </row>
    <row r="45" spans="1:17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  <c r="P45">
        <f>_xlfn.XLOOKUP(tblTickets[[#This Row],[Priority]],Lists!B:B,Lists!C:C)</f>
        <v>5</v>
      </c>
      <c r="Q45" s="4" t="str">
        <f ca="1">IF(tblTickets[[#This Row],[Age (days)]]&gt;tblTickets[[#This Row],[SLA (days)]],"Breached","OK")</f>
        <v>Breached</v>
      </c>
    </row>
    <row r="46" spans="1:17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  <c r="P46">
        <f>_xlfn.XLOOKUP(tblTickets[[#This Row],[Priority]],Lists!B:B,Lists!C:C)</f>
        <v>5</v>
      </c>
      <c r="Q46" s="4" t="str">
        <f ca="1">IF(tblTickets[[#This Row],[Age (days)]]&gt;tblTickets[[#This Row],[SLA (days)]],"Breached","OK")</f>
        <v>Breached</v>
      </c>
    </row>
    <row r="47" spans="1:17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  <c r="P47">
        <f>_xlfn.XLOOKUP(tblTickets[[#This Row],[Priority]],Lists!B:B,Lists!C:C)</f>
        <v>5</v>
      </c>
      <c r="Q47" s="4" t="str">
        <f ca="1">IF(tblTickets[[#This Row],[Age (days)]]&gt;tblTickets[[#This Row],[SLA (days)]],"Breached","OK")</f>
        <v>Breached</v>
      </c>
    </row>
    <row r="48" spans="1:17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  <c r="P48">
        <f>_xlfn.XLOOKUP(tblTickets[[#This Row],[Priority]],Lists!B:B,Lists!C:C)</f>
        <v>5</v>
      </c>
      <c r="Q48" s="4" t="str">
        <f ca="1">IF(tblTickets[[#This Row],[Age (days)]]&gt;tblTickets[[#This Row],[SLA (days)]],"Breached","OK")</f>
        <v>Breached</v>
      </c>
    </row>
    <row r="49" spans="1:17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  <c r="P49">
        <f>_xlfn.XLOOKUP(tblTickets[[#This Row],[Priority]],Lists!B:B,Lists!C:C)</f>
        <v>5</v>
      </c>
      <c r="Q49" s="4" t="str">
        <f ca="1">IF(tblTickets[[#This Row],[Age (days)]]&gt;tblTickets[[#This Row],[SLA (days)]],"Breached","OK")</f>
        <v>Breached</v>
      </c>
    </row>
    <row r="50" spans="1:17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  <c r="P50">
        <f>_xlfn.XLOOKUP(tblTickets[[#This Row],[Priority]],Lists!B:B,Lists!C:C)</f>
        <v>10</v>
      </c>
      <c r="Q50" s="4" t="str">
        <f ca="1">IF(tblTickets[[#This Row],[Age (days)]]&gt;tblTickets[[#This Row],[SLA (days)]],"Breached","OK")</f>
        <v>OK</v>
      </c>
    </row>
    <row r="51" spans="1:17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  <c r="P51">
        <f>_xlfn.XLOOKUP(tblTickets[[#This Row],[Priority]],Lists!B:B,Lists!C:C)</f>
        <v>5</v>
      </c>
      <c r="Q51" s="4" t="str">
        <f ca="1">IF(tblTickets[[#This Row],[Age (days)]]&gt;tblTickets[[#This Row],[SLA (days)]],"Breached","OK")</f>
        <v>Breached</v>
      </c>
    </row>
    <row r="52" spans="1:17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  <c r="P52">
        <f>_xlfn.XLOOKUP(tblTickets[[#This Row],[Priority]],Lists!B:B,Lists!C:C)</f>
        <v>10</v>
      </c>
      <c r="Q52" s="4" t="str">
        <f ca="1">IF(tblTickets[[#This Row],[Age (days)]]&gt;tblTickets[[#This Row],[SLA (days)]],"Breached","OK")</f>
        <v>Breached</v>
      </c>
    </row>
    <row r="53" spans="1:17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  <c r="P53">
        <f>_xlfn.XLOOKUP(tblTickets[[#This Row],[Priority]],Lists!B:B,Lists!C:C)</f>
        <v>10</v>
      </c>
      <c r="Q53" s="4" t="str">
        <f ca="1">IF(tblTickets[[#This Row],[Age (days)]]&gt;tblTickets[[#This Row],[SLA (days)]],"Breached","OK")</f>
        <v>OK</v>
      </c>
    </row>
    <row r="54" spans="1:17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  <c r="P54">
        <f>_xlfn.XLOOKUP(tblTickets[[#This Row],[Priority]],Lists!B:B,Lists!C:C)</f>
        <v>5</v>
      </c>
      <c r="Q54" s="4" t="str">
        <f ca="1">IF(tblTickets[[#This Row],[Age (days)]]&gt;tblTickets[[#This Row],[SLA (days)]],"Breached","OK")</f>
        <v>Breached</v>
      </c>
    </row>
    <row r="55" spans="1:17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  <c r="P55">
        <f>_xlfn.XLOOKUP(tblTickets[[#This Row],[Priority]],Lists!B:B,Lists!C:C)</f>
        <v>10</v>
      </c>
      <c r="Q55" s="4" t="str">
        <f ca="1">IF(tblTickets[[#This Row],[Age (days)]]&gt;tblTickets[[#This Row],[SLA (days)]],"Breached","OK")</f>
        <v>OK</v>
      </c>
    </row>
    <row r="56" spans="1:17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  <c r="P56">
        <f>_xlfn.XLOOKUP(tblTickets[[#This Row],[Priority]],Lists!B:B,Lists!C:C)</f>
        <v>10</v>
      </c>
      <c r="Q56" s="4" t="str">
        <f ca="1">IF(tblTickets[[#This Row],[Age (days)]]&gt;tblTickets[[#This Row],[SLA (days)]],"Breached","OK")</f>
        <v>Breached</v>
      </c>
    </row>
    <row r="57" spans="1:17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  <c r="P57">
        <f>_xlfn.XLOOKUP(tblTickets[[#This Row],[Priority]],Lists!B:B,Lists!C:C)</f>
        <v>5</v>
      </c>
      <c r="Q57" s="4" t="str">
        <f ca="1">IF(tblTickets[[#This Row],[Age (days)]]&gt;tblTickets[[#This Row],[SLA (days)]],"Breached","OK")</f>
        <v>OK</v>
      </c>
    </row>
    <row r="58" spans="1:17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  <c r="P58">
        <f>_xlfn.XLOOKUP(tblTickets[[#This Row],[Priority]],Lists!B:B,Lists!C:C)</f>
        <v>5</v>
      </c>
      <c r="Q58" s="4" t="str">
        <f ca="1">IF(tblTickets[[#This Row],[Age (days)]]&gt;tblTickets[[#This Row],[SLA (days)]],"Breached","OK")</f>
        <v>Breached</v>
      </c>
    </row>
    <row r="59" spans="1:17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  <c r="P59">
        <f>_xlfn.XLOOKUP(tblTickets[[#This Row],[Priority]],Lists!B:B,Lists!C:C)</f>
        <v>5</v>
      </c>
      <c r="Q59" s="4" t="str">
        <f ca="1">IF(tblTickets[[#This Row],[Age (days)]]&gt;tblTickets[[#This Row],[SLA (days)]],"Breached","OK")</f>
        <v>Breached</v>
      </c>
    </row>
    <row r="60" spans="1:17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  <c r="P60">
        <f>_xlfn.XLOOKUP(tblTickets[[#This Row],[Priority]],Lists!B:B,Lists!C:C)</f>
        <v>5</v>
      </c>
      <c r="Q60" s="4" t="str">
        <f ca="1">IF(tblTickets[[#This Row],[Age (days)]]&gt;tblTickets[[#This Row],[SLA (days)]],"Breached","OK")</f>
        <v>OK</v>
      </c>
    </row>
    <row r="61" spans="1:17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  <c r="P61">
        <f>_xlfn.XLOOKUP(tblTickets[[#This Row],[Priority]],Lists!B:B,Lists!C:C)</f>
        <v>5</v>
      </c>
      <c r="Q61" s="4" t="str">
        <f ca="1">IF(tblTickets[[#This Row],[Age (days)]]&gt;tblTickets[[#This Row],[SLA (days)]],"Breached","OK")</f>
        <v>Breached</v>
      </c>
    </row>
  </sheetData>
  <conditionalFormatting sqref="Q2:Q61">
    <cfRule type="containsText" dxfId="2" priority="2" operator="containsText" text="Breached">
      <formula>NOT(ISERROR(SEARCH("Breached",Q2)))</formula>
    </cfRule>
    <cfRule type="containsText" dxfId="1" priority="1" operator="containsText" text="Breached">
      <formula>NOT(ISERROR(SEARCH("Breached",Q2)))</formula>
    </cfRule>
  </conditionalFormatting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C5"/>
  <sheetViews>
    <sheetView workbookViewId="0">
      <selection activeCell="E8" sqref="E8"/>
    </sheetView>
  </sheetViews>
  <sheetFormatPr baseColWidth="10" defaultRowHeight="15" x14ac:dyDescent="0.2"/>
  <sheetData>
    <row r="1" spans="1:3" x14ac:dyDescent="0.2">
      <c r="A1" t="s">
        <v>10</v>
      </c>
      <c r="B1" t="s">
        <v>9</v>
      </c>
      <c r="C1" t="s">
        <v>558</v>
      </c>
    </row>
    <row r="2" spans="1:3" x14ac:dyDescent="0.2">
      <c r="A2" t="s">
        <v>40</v>
      </c>
      <c r="B2" t="s">
        <v>120</v>
      </c>
      <c r="C2">
        <v>5</v>
      </c>
    </row>
    <row r="3" spans="1:3" x14ac:dyDescent="0.2">
      <c r="A3" t="s">
        <v>31</v>
      </c>
      <c r="B3" t="s">
        <v>39</v>
      </c>
      <c r="C3">
        <v>10</v>
      </c>
    </row>
    <row r="4" spans="1:3" x14ac:dyDescent="0.2">
      <c r="A4" t="s">
        <v>149</v>
      </c>
      <c r="B4" t="s">
        <v>21</v>
      </c>
      <c r="C4">
        <v>20</v>
      </c>
    </row>
    <row r="5" spans="1:3" x14ac:dyDescent="0.2">
      <c r="A5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Dashboard</vt:lpstr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2026-10-05T12:47:47Z</dcterms:modified>
</cp:coreProperties>
</file>