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c1/Desktop/app_projects/supplier-data-health-check/excel/"/>
    </mc:Choice>
  </mc:AlternateContent>
  <xr:revisionPtr revIDLastSave="0" documentId="13_ncr:1_{94629A47-E9D3-F848-AECA-3DE49BB99AEF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Suppliers" sheetId="1" r:id="rId1"/>
    <sheet name="Results" sheetId="4" r:id="rId2"/>
    <sheet name="Terms" sheetId="2" r:id="rId3"/>
    <sheet name="Settings" sheetId="3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J2" i="1"/>
  <c r="K2" i="1" s="1"/>
  <c r="L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K116" i="1" l="1"/>
  <c r="L116" i="1" s="1"/>
  <c r="K20" i="1"/>
  <c r="L20" i="1" s="1"/>
  <c r="K56" i="1"/>
  <c r="L56" i="1" s="1"/>
  <c r="K72" i="1"/>
  <c r="L72" i="1" s="1"/>
  <c r="K88" i="1"/>
  <c r="L88" i="1" s="1"/>
  <c r="K100" i="1"/>
  <c r="L100" i="1" s="1"/>
  <c r="K16" i="1"/>
  <c r="L16" i="1" s="1"/>
  <c r="K28" i="1"/>
  <c r="L28" i="1" s="1"/>
  <c r="K36" i="1"/>
  <c r="L36" i="1" s="1"/>
  <c r="K44" i="1"/>
  <c r="L44" i="1" s="1"/>
  <c r="K52" i="1"/>
  <c r="L52" i="1" s="1"/>
  <c r="K64" i="1"/>
  <c r="L64" i="1" s="1"/>
  <c r="K76" i="1"/>
  <c r="L76" i="1" s="1"/>
  <c r="K84" i="1"/>
  <c r="L84" i="1" s="1"/>
  <c r="K96" i="1"/>
  <c r="L96" i="1" s="1"/>
  <c r="K8" i="1"/>
  <c r="L8" i="1" s="1"/>
  <c r="K12" i="1"/>
  <c r="L12" i="1" s="1"/>
  <c r="K24" i="1"/>
  <c r="L24" i="1" s="1"/>
  <c r="K32" i="1"/>
  <c r="L32" i="1" s="1"/>
  <c r="K40" i="1"/>
  <c r="L40" i="1" s="1"/>
  <c r="K48" i="1"/>
  <c r="L48" i="1" s="1"/>
  <c r="K60" i="1"/>
  <c r="L60" i="1" s="1"/>
  <c r="K68" i="1"/>
  <c r="L68" i="1" s="1"/>
  <c r="K80" i="1"/>
  <c r="L80" i="1" s="1"/>
  <c r="K92" i="1"/>
  <c r="L92" i="1" s="1"/>
  <c r="K11" i="1"/>
  <c r="L11" i="1" s="1"/>
  <c r="K112" i="1"/>
  <c r="L112" i="1" s="1"/>
  <c r="K108" i="1"/>
  <c r="L108" i="1" s="1"/>
  <c r="K120" i="1"/>
  <c r="L120" i="1" s="1"/>
  <c r="K104" i="1"/>
  <c r="L104" i="1" s="1"/>
  <c r="K115" i="1"/>
  <c r="L115" i="1" s="1"/>
  <c r="K107" i="1"/>
  <c r="L107" i="1" s="1"/>
  <c r="K99" i="1"/>
  <c r="L99" i="1" s="1"/>
  <c r="K91" i="1"/>
  <c r="L91" i="1" s="1"/>
  <c r="K87" i="1"/>
  <c r="L87" i="1" s="1"/>
  <c r="K79" i="1"/>
  <c r="L79" i="1" s="1"/>
  <c r="K71" i="1"/>
  <c r="L71" i="1" s="1"/>
  <c r="K67" i="1"/>
  <c r="L67" i="1" s="1"/>
  <c r="K59" i="1"/>
  <c r="L59" i="1" s="1"/>
  <c r="K51" i="1"/>
  <c r="L51" i="1" s="1"/>
  <c r="K43" i="1"/>
  <c r="L43" i="1" s="1"/>
  <c r="K35" i="1"/>
  <c r="L35" i="1" s="1"/>
  <c r="K27" i="1"/>
  <c r="L27" i="1" s="1"/>
  <c r="K23" i="1"/>
  <c r="L23" i="1" s="1"/>
  <c r="K19" i="1"/>
  <c r="L19" i="1" s="1"/>
  <c r="K15" i="1"/>
  <c r="L15" i="1" s="1"/>
  <c r="K7" i="1"/>
  <c r="L7" i="1" s="1"/>
  <c r="K118" i="1"/>
  <c r="L118" i="1" s="1"/>
  <c r="K114" i="1"/>
  <c r="L114" i="1" s="1"/>
  <c r="K110" i="1"/>
  <c r="L110" i="1" s="1"/>
  <c r="K106" i="1"/>
  <c r="L106" i="1" s="1"/>
  <c r="K102" i="1"/>
  <c r="L102" i="1" s="1"/>
  <c r="K98" i="1"/>
  <c r="L98" i="1" s="1"/>
  <c r="K94" i="1"/>
  <c r="L94" i="1" s="1"/>
  <c r="K90" i="1"/>
  <c r="L90" i="1" s="1"/>
  <c r="K86" i="1"/>
  <c r="L86" i="1" s="1"/>
  <c r="K82" i="1"/>
  <c r="L82" i="1" s="1"/>
  <c r="K78" i="1"/>
  <c r="L78" i="1" s="1"/>
  <c r="K74" i="1"/>
  <c r="L74" i="1" s="1"/>
  <c r="K70" i="1"/>
  <c r="L70" i="1" s="1"/>
  <c r="K66" i="1"/>
  <c r="L66" i="1" s="1"/>
  <c r="K62" i="1"/>
  <c r="L62" i="1" s="1"/>
  <c r="K58" i="1"/>
  <c r="L58" i="1" s="1"/>
  <c r="K54" i="1"/>
  <c r="L54" i="1" s="1"/>
  <c r="K50" i="1"/>
  <c r="L50" i="1" s="1"/>
  <c r="K46" i="1"/>
  <c r="L46" i="1" s="1"/>
  <c r="K42" i="1"/>
  <c r="L42" i="1" s="1"/>
  <c r="K38" i="1"/>
  <c r="L38" i="1" s="1"/>
  <c r="K34" i="1"/>
  <c r="L34" i="1" s="1"/>
  <c r="K30" i="1"/>
  <c r="L30" i="1" s="1"/>
  <c r="K26" i="1"/>
  <c r="L26" i="1" s="1"/>
  <c r="K22" i="1"/>
  <c r="L22" i="1" s="1"/>
  <c r="K18" i="1"/>
  <c r="L18" i="1" s="1"/>
  <c r="K14" i="1"/>
  <c r="L14" i="1" s="1"/>
  <c r="K10" i="1"/>
  <c r="L10" i="1" s="1"/>
  <c r="K6" i="1"/>
  <c r="L6" i="1" s="1"/>
  <c r="K121" i="1"/>
  <c r="L121" i="1" s="1"/>
  <c r="K117" i="1"/>
  <c r="L117" i="1" s="1"/>
  <c r="K113" i="1"/>
  <c r="L113" i="1" s="1"/>
  <c r="K109" i="1"/>
  <c r="L109" i="1" s="1"/>
  <c r="K105" i="1"/>
  <c r="L105" i="1" s="1"/>
  <c r="K101" i="1"/>
  <c r="L101" i="1" s="1"/>
  <c r="K97" i="1"/>
  <c r="L97" i="1" s="1"/>
  <c r="K93" i="1"/>
  <c r="L93" i="1" s="1"/>
  <c r="K89" i="1"/>
  <c r="L89" i="1" s="1"/>
  <c r="K85" i="1"/>
  <c r="L85" i="1" s="1"/>
  <c r="K81" i="1"/>
  <c r="L81" i="1" s="1"/>
  <c r="K77" i="1"/>
  <c r="L77" i="1" s="1"/>
  <c r="K73" i="1"/>
  <c r="L73" i="1" s="1"/>
  <c r="K69" i="1"/>
  <c r="L69" i="1" s="1"/>
  <c r="K65" i="1"/>
  <c r="L65" i="1" s="1"/>
  <c r="K61" i="1"/>
  <c r="L61" i="1" s="1"/>
  <c r="K57" i="1"/>
  <c r="L57" i="1" s="1"/>
  <c r="K53" i="1"/>
  <c r="L53" i="1" s="1"/>
  <c r="K49" i="1"/>
  <c r="L49" i="1" s="1"/>
  <c r="K45" i="1"/>
  <c r="L45" i="1" s="1"/>
  <c r="K41" i="1"/>
  <c r="L41" i="1" s="1"/>
  <c r="K37" i="1"/>
  <c r="L37" i="1" s="1"/>
  <c r="K33" i="1"/>
  <c r="L33" i="1" s="1"/>
  <c r="K29" i="1"/>
  <c r="L29" i="1" s="1"/>
  <c r="K25" i="1"/>
  <c r="L25" i="1" s="1"/>
  <c r="K21" i="1"/>
  <c r="L21" i="1" s="1"/>
  <c r="K17" i="1"/>
  <c r="L17" i="1" s="1"/>
  <c r="K13" i="1"/>
  <c r="L13" i="1" s="1"/>
  <c r="K9" i="1"/>
  <c r="L9" i="1" s="1"/>
  <c r="B2" i="4" s="1"/>
  <c r="K5" i="1"/>
  <c r="L5" i="1" s="1"/>
  <c r="K4" i="1"/>
  <c r="L4" i="1" s="1"/>
  <c r="K119" i="1"/>
  <c r="L119" i="1" s="1"/>
  <c r="K111" i="1"/>
  <c r="L111" i="1" s="1"/>
  <c r="K103" i="1"/>
  <c r="L103" i="1" s="1"/>
  <c r="K95" i="1"/>
  <c r="L95" i="1" s="1"/>
  <c r="K83" i="1"/>
  <c r="L83" i="1" s="1"/>
  <c r="K75" i="1"/>
  <c r="L75" i="1" s="1"/>
  <c r="K63" i="1"/>
  <c r="L63" i="1" s="1"/>
  <c r="K55" i="1"/>
  <c r="L55" i="1" s="1"/>
  <c r="K47" i="1"/>
  <c r="L47" i="1" s="1"/>
  <c r="K39" i="1"/>
  <c r="L39" i="1" s="1"/>
  <c r="K31" i="1"/>
  <c r="L31" i="1" s="1"/>
  <c r="K3" i="1"/>
  <c r="L3" i="1" s="1"/>
  <c r="B3" i="4" s="1"/>
  <c r="B4" i="4" l="1"/>
  <c r="B5" i="4" s="1"/>
</calcChain>
</file>

<file path=xl/sharedStrings.xml><?xml version="1.0" encoding="utf-8"?>
<sst xmlns="http://schemas.openxmlformats.org/spreadsheetml/2006/main" count="778" uniqueCount="313">
  <si>
    <t>Golden ID</t>
  </si>
  <si>
    <t>Supplier</t>
  </si>
  <si>
    <t>Country</t>
  </si>
  <si>
    <t>Commodity</t>
  </si>
  <si>
    <t>Segment (M2)</t>
  </si>
  <si>
    <t>Spend (EUR)</t>
  </si>
  <si>
    <t>OTD %</t>
  </si>
  <si>
    <t>PPM</t>
  </si>
  <si>
    <t>Payment term</t>
  </si>
  <si>
    <t>G0001</t>
  </si>
  <si>
    <t>Deltaplast GmbH</t>
  </si>
  <si>
    <t>DE</t>
  </si>
  <si>
    <t>Aluminium castings</t>
  </si>
  <si>
    <t>Reliable, lower spend</t>
  </si>
  <si>
    <t>missing</t>
  </si>
  <si>
    <t>G0002</t>
  </si>
  <si>
    <t>Ferroform s.r.o.</t>
  </si>
  <si>
    <t>CZ</t>
  </si>
  <si>
    <t>Hoses &amp; connectors</t>
  </si>
  <si>
    <t>Critical: quality and delivery</t>
  </si>
  <si>
    <t>NT60</t>
  </si>
  <si>
    <t>G0003</t>
  </si>
  <si>
    <t>Atlaswerk GmbH</t>
  </si>
  <si>
    <t>Packaging</t>
  </si>
  <si>
    <t>Delivery risk</t>
  </si>
  <si>
    <t>SK14</t>
  </si>
  <si>
    <t>G0004</t>
  </si>
  <si>
    <t>Ventoline S.r.l.</t>
  </si>
  <si>
    <t>IT</t>
  </si>
  <si>
    <t>Electronic sensors</t>
  </si>
  <si>
    <t>NT30</t>
  </si>
  <si>
    <t>G0005</t>
  </si>
  <si>
    <t>Lumenflex SAS</t>
  </si>
  <si>
    <t>FR</t>
  </si>
  <si>
    <t>Valves</t>
  </si>
  <si>
    <t>G0006</t>
  </si>
  <si>
    <t>Aquametal GmbH</t>
  </si>
  <si>
    <t>G0007</t>
  </si>
  <si>
    <t>Orbiscast s.r.o.</t>
  </si>
  <si>
    <t>Rubber seals</t>
  </si>
  <si>
    <t>G0008</t>
  </si>
  <si>
    <t>Polarparts GmbH</t>
  </si>
  <si>
    <t>G0009</t>
  </si>
  <si>
    <t>Alpentronic GmbH</t>
  </si>
  <si>
    <t>Strategic and reliable</t>
  </si>
  <si>
    <t>NT45</t>
  </si>
  <si>
    <t>G0010</t>
  </si>
  <si>
    <t>Deltaguss GmbH</t>
  </si>
  <si>
    <t>Fasteners</t>
  </si>
  <si>
    <t>G0011</t>
  </si>
  <si>
    <t>Cerrocast s.r.o.</t>
  </si>
  <si>
    <t>G0012</t>
  </si>
  <si>
    <t>Velawerk s.r.o.</t>
  </si>
  <si>
    <t>Plastic housings</t>
  </si>
  <si>
    <t>G0013</t>
  </si>
  <si>
    <t>Tauroparts S.r.l.</t>
  </si>
  <si>
    <t>G0014</t>
  </si>
  <si>
    <t>Velaparts s.r.o.</t>
  </si>
  <si>
    <t>Quality risk</t>
  </si>
  <si>
    <t>G0015</t>
  </si>
  <si>
    <t>Silberline S.r.l.</t>
  </si>
  <si>
    <t>G0016</t>
  </si>
  <si>
    <t>Lumencast GmbH</t>
  </si>
  <si>
    <t>AT</t>
  </si>
  <si>
    <t>G0017</t>
  </si>
  <si>
    <t>Novawerk GmbH</t>
  </si>
  <si>
    <t>G0018</t>
  </si>
  <si>
    <t>Voltaflex GmbH</t>
  </si>
  <si>
    <t>G0019</t>
  </si>
  <si>
    <t>Kraftguss s.r.o.</t>
  </si>
  <si>
    <t>Brazed heat exchangers</t>
  </si>
  <si>
    <t>G0020</t>
  </si>
  <si>
    <t>Boraseal GmbH</t>
  </si>
  <si>
    <t>G0021</t>
  </si>
  <si>
    <t>Velaguss Sp. z o.o.</t>
  </si>
  <si>
    <t>PL</t>
  </si>
  <si>
    <t>G0022</t>
  </si>
  <si>
    <t>Velacast GmbH</t>
  </si>
  <si>
    <t>G0023</t>
  </si>
  <si>
    <t>Taurometal Sp. z o.o.</t>
  </si>
  <si>
    <t>G0024</t>
  </si>
  <si>
    <t>NORDCAST SP. Z O.O.</t>
  </si>
  <si>
    <t>G0025</t>
  </si>
  <si>
    <t>Cerroline GmbH</t>
  </si>
  <si>
    <t>G0026</t>
  </si>
  <si>
    <t>Kappaplast GmbH</t>
  </si>
  <si>
    <t>G0027</t>
  </si>
  <si>
    <t>PRIMAFORM S.R.L.</t>
  </si>
  <si>
    <t>G0028</t>
  </si>
  <si>
    <t>Novaseal GmbH</t>
  </si>
  <si>
    <t>G0029</t>
  </si>
  <si>
    <t>Ventoseal GmbH</t>
  </si>
  <si>
    <t>G0030</t>
  </si>
  <si>
    <t>Silbermetal s.r.o.</t>
  </si>
  <si>
    <t>G0031</t>
  </si>
  <si>
    <t>Kraftseal S.r.l.</t>
  </si>
  <si>
    <t>G0032</t>
  </si>
  <si>
    <t>Voltacast GmbH</t>
  </si>
  <si>
    <t>G0033</t>
  </si>
  <si>
    <t>Primaplast S.r.l.</t>
  </si>
  <si>
    <t>G0034</t>
  </si>
  <si>
    <t>Novametal Sp. z o.o.</t>
  </si>
  <si>
    <t>G0035</t>
  </si>
  <si>
    <t>Alpenwerk GmbH</t>
  </si>
  <si>
    <t>G0036</t>
  </si>
  <si>
    <t>Atlasguss  GmbH</t>
  </si>
  <si>
    <t>G0037</t>
  </si>
  <si>
    <t>Ferroflex GmbH</t>
  </si>
  <si>
    <t>G0038</t>
  </si>
  <si>
    <t>Voltawerk GmbH</t>
  </si>
  <si>
    <t>G0039</t>
  </si>
  <si>
    <t>Ferroparts GmbH</t>
  </si>
  <si>
    <t>G0040</t>
  </si>
  <si>
    <t>Nordguss SAS</t>
  </si>
  <si>
    <t>G0041</t>
  </si>
  <si>
    <t>Atlasplast Sp. z o.o.</t>
  </si>
  <si>
    <t>G0042</t>
  </si>
  <si>
    <t>Tauroform Sp. z o.o.</t>
  </si>
  <si>
    <t>G0043</t>
  </si>
  <si>
    <t>Cerrowerk Sp. z o.o.</t>
  </si>
  <si>
    <t>G0044</t>
  </si>
  <si>
    <t>Ventoplast GmbH</t>
  </si>
  <si>
    <t>G0045</t>
  </si>
  <si>
    <t>Novaform GmbH</t>
  </si>
  <si>
    <t>G0046</t>
  </si>
  <si>
    <t>Nordline GmbH</t>
  </si>
  <si>
    <t>G0047</t>
  </si>
  <si>
    <t>Lumenparts GmbH</t>
  </si>
  <si>
    <t>G0048</t>
  </si>
  <si>
    <t>Ferrocast GmbH</t>
  </si>
  <si>
    <t>G0049</t>
  </si>
  <si>
    <t>Novaline GmbH</t>
  </si>
  <si>
    <t>G0050</t>
  </si>
  <si>
    <t>Atlasflex GmbH</t>
  </si>
  <si>
    <t>G0051</t>
  </si>
  <si>
    <t>Voltaplast GmbH</t>
  </si>
  <si>
    <t>G0052</t>
  </si>
  <si>
    <t>Krafttec GmbH</t>
  </si>
  <si>
    <t>G0053</t>
  </si>
  <si>
    <t>Lumenform GmbH</t>
  </si>
  <si>
    <t>G0054</t>
  </si>
  <si>
    <t>Terratronic GmbH</t>
  </si>
  <si>
    <t>G0055</t>
  </si>
  <si>
    <t>Atlasform s.r.o.</t>
  </si>
  <si>
    <t>G0056</t>
  </si>
  <si>
    <t>Deltaform Sp. z o.o.</t>
  </si>
  <si>
    <t>G0057</t>
  </si>
  <si>
    <t>Ventotronic GmbH</t>
  </si>
  <si>
    <t>G0058</t>
  </si>
  <si>
    <t>Boraline GmbH</t>
  </si>
  <si>
    <t>G0059</t>
  </si>
  <si>
    <t>Alpencast Sp. z o.o.</t>
  </si>
  <si>
    <t>G0060</t>
  </si>
  <si>
    <t>Atlasparts Sp. z o.o.</t>
  </si>
  <si>
    <t>G0061</t>
  </si>
  <si>
    <t>Kraftflex s.r.o.</t>
  </si>
  <si>
    <t>G0062</t>
  </si>
  <si>
    <t>Rheinplast S.r.l.</t>
  </si>
  <si>
    <t>G0063</t>
  </si>
  <si>
    <t>Polarcast Sp. z o.o.</t>
  </si>
  <si>
    <t>G0064</t>
  </si>
  <si>
    <t>Deltacast GmbH</t>
  </si>
  <si>
    <t>G0065</t>
  </si>
  <si>
    <t>Kappaform GmbH</t>
  </si>
  <si>
    <t>G0066</t>
  </si>
  <si>
    <t>Boratronic SAS</t>
  </si>
  <si>
    <t>G0067</t>
  </si>
  <si>
    <t>Polarmetal s.r.o.</t>
  </si>
  <si>
    <t>G0068</t>
  </si>
  <si>
    <t>Deltametal Sp. z o.o.</t>
  </si>
  <si>
    <t>G0069</t>
  </si>
  <si>
    <t>Lumenwerk s.r.o.</t>
  </si>
  <si>
    <t>G0070</t>
  </si>
  <si>
    <t>Terraparts GmbH</t>
  </si>
  <si>
    <t>G0071</t>
  </si>
  <si>
    <t>Ventometal GmbH</t>
  </si>
  <si>
    <t>G0072</t>
  </si>
  <si>
    <t>Nordwerk GmbH</t>
  </si>
  <si>
    <t>G0073</t>
  </si>
  <si>
    <t>Ventoguss GmbH</t>
  </si>
  <si>
    <t>G0074</t>
  </si>
  <si>
    <t>Alpenguss SAS</t>
  </si>
  <si>
    <t>G0075</t>
  </si>
  <si>
    <t>Silberguss GmbH</t>
  </si>
  <si>
    <t>G0076</t>
  </si>
  <si>
    <t>Aquatronic GmbH</t>
  </si>
  <si>
    <t>G0077</t>
  </si>
  <si>
    <t>Orbisparts GmbH</t>
  </si>
  <si>
    <t>G0078</t>
  </si>
  <si>
    <t>Velaseal s.r.o.</t>
  </si>
  <si>
    <t>G0079</t>
  </si>
  <si>
    <t>Primaparts GmbH</t>
  </si>
  <si>
    <t>G0080</t>
  </si>
  <si>
    <t>Velaline S.r.l.</t>
  </si>
  <si>
    <t>G0081</t>
  </si>
  <si>
    <t>Aquaplast s.r.o.</t>
  </si>
  <si>
    <t>G0082</t>
  </si>
  <si>
    <t>Ferrotronic S.r.l.</t>
  </si>
  <si>
    <t>G0083</t>
  </si>
  <si>
    <t>Kappawerk GmbH</t>
  </si>
  <si>
    <t>G0084</t>
  </si>
  <si>
    <t>Silberwerk s.r.o.</t>
  </si>
  <si>
    <t>G0085</t>
  </si>
  <si>
    <t>Voltatec GmbH</t>
  </si>
  <si>
    <t>G0086</t>
  </si>
  <si>
    <t>Terraseal  SAS</t>
  </si>
  <si>
    <t>G0087</t>
  </si>
  <si>
    <t>Polarplast  S.r.l.</t>
  </si>
  <si>
    <t>G0088</t>
  </si>
  <si>
    <t>Orbisguss</t>
  </si>
  <si>
    <t>G0089</t>
  </si>
  <si>
    <t>Boratc S.r.l.</t>
  </si>
  <si>
    <t>G0090</t>
  </si>
  <si>
    <t>Tauroseal</t>
  </si>
  <si>
    <t>G0091</t>
  </si>
  <si>
    <t>Nordplast  s.r.o.</t>
  </si>
  <si>
    <t>G0092</t>
  </si>
  <si>
    <t>RHEINSEAL GMBH</t>
  </si>
  <si>
    <t>G0093</t>
  </si>
  <si>
    <t>Orbistronic</t>
  </si>
  <si>
    <t>G0094</t>
  </si>
  <si>
    <t>Cerroparts</t>
  </si>
  <si>
    <t>G0095</t>
  </si>
  <si>
    <t>Cerrotec GmbH</t>
  </si>
  <si>
    <t>G0096</t>
  </si>
  <si>
    <t>Boraetal Sp. z o.o.</t>
  </si>
  <si>
    <t>G0097</t>
  </si>
  <si>
    <t>Kraftcast  Sp.  z  o.o.</t>
  </si>
  <si>
    <t>G0098</t>
  </si>
  <si>
    <t>KAPPATEC GMBH</t>
  </si>
  <si>
    <t>G0099</t>
  </si>
  <si>
    <t>Boraflex  s.r.o.</t>
  </si>
  <si>
    <t>G0100</t>
  </si>
  <si>
    <t>Aquaparts  GmbH</t>
  </si>
  <si>
    <t>G0101</t>
  </si>
  <si>
    <t>RHEINGUSS SAS</t>
  </si>
  <si>
    <t>G0102</t>
  </si>
  <si>
    <t>Deltaarts SAS</t>
  </si>
  <si>
    <t>G0103</t>
  </si>
  <si>
    <t>TAUROGUSS GMBH</t>
  </si>
  <si>
    <t>G0104</t>
  </si>
  <si>
    <t>VELAFORM GMBH</t>
  </si>
  <si>
    <t>G0105</t>
  </si>
  <si>
    <t>Silbercast  GmbH</t>
  </si>
  <si>
    <t>G0106</t>
  </si>
  <si>
    <t>Veltec GmbH</t>
  </si>
  <si>
    <t>G0107</t>
  </si>
  <si>
    <t>Nordtronic</t>
  </si>
  <si>
    <t>G0108</t>
  </si>
  <si>
    <t>Rheinmeal s.r.o.</t>
  </si>
  <si>
    <t>G0109</t>
  </si>
  <si>
    <t>Vltatronic Sp. z o.o.</t>
  </si>
  <si>
    <t>G0110</t>
  </si>
  <si>
    <t>KRAFTFORM SAS</t>
  </si>
  <si>
    <t>G0111</t>
  </si>
  <si>
    <t>Teraplast GmbH</t>
  </si>
  <si>
    <t>G0112</t>
  </si>
  <si>
    <t>Boracast GmbH</t>
  </si>
  <si>
    <t>G0113</t>
  </si>
  <si>
    <t>FERROMETAL GMBH</t>
  </si>
  <si>
    <t>G0114</t>
  </si>
  <si>
    <t>Orbisflex GmbH</t>
  </si>
  <si>
    <t>G0115</t>
  </si>
  <si>
    <t>Deltatc s.r.o.</t>
  </si>
  <si>
    <t>G0116</t>
  </si>
  <si>
    <t>Atlastronc GmbH</t>
  </si>
  <si>
    <t>G0117</t>
  </si>
  <si>
    <t>Deltaflex  Sp.  z  o.o.</t>
  </si>
  <si>
    <t>G0118</t>
  </si>
  <si>
    <t>Cerroform  S.r.l.</t>
  </si>
  <si>
    <t>G0119</t>
  </si>
  <si>
    <t>Voltasal Sp. z o.o.</t>
  </si>
  <si>
    <t>G0120</t>
  </si>
  <si>
    <t>Taurotec  GmbH</t>
  </si>
  <si>
    <t>Code</t>
  </si>
  <si>
    <t>Description</t>
  </si>
  <si>
    <t>Net days</t>
  </si>
  <si>
    <t>Cash discount %</t>
  </si>
  <si>
    <t>Discount days</t>
  </si>
  <si>
    <t>Net 30</t>
  </si>
  <si>
    <t>45 days</t>
  </si>
  <si>
    <t>60 days net</t>
  </si>
  <si>
    <t>2% 14 days, net 30</t>
  </si>
  <si>
    <t>Setting</t>
  </si>
  <si>
    <t>Value</t>
  </si>
  <si>
    <t>Note</t>
  </si>
  <si>
    <t>Data period: first delivery</t>
  </si>
  <si>
    <t>Spend in this workbook covers this period only</t>
  </si>
  <si>
    <t>Data period: last delivery</t>
  </si>
  <si>
    <t>Days in data period</t>
  </si>
  <si>
    <t>Used to turn spend into spend per day</t>
  </si>
  <si>
    <t>Target payment term (days)</t>
  </si>
  <si>
    <t>Assumption: company standard term</t>
  </si>
  <si>
    <t>All data is synthetic. Spend = quantity received x unit price from the purchase-order lines.</t>
  </si>
  <si>
    <t>Spend share</t>
  </si>
  <si>
    <t>Cumulative share</t>
  </si>
  <si>
    <t>ABC class</t>
  </si>
  <si>
    <t>Class</t>
  </si>
  <si>
    <t>Suppliers</t>
  </si>
  <si>
    <t>A</t>
  </si>
  <si>
    <t>B</t>
  </si>
  <si>
    <t>C</t>
  </si>
  <si>
    <t>Total</t>
  </si>
  <si>
    <t>Row Labels</t>
  </si>
  <si>
    <t>Grand Total</t>
  </si>
  <si>
    <t>Sum of Spend (EUR)</t>
  </si>
  <si>
    <t>Sum of Spend (EUR)2</t>
  </si>
  <si>
    <t>Cash effect (EUR)</t>
  </si>
  <si>
    <t>Discount (EUR)</t>
  </si>
  <si>
    <t>Cash effect, 60-day terms (EUR)</t>
  </si>
  <si>
    <t>Cash discount potential (EUR)</t>
  </si>
  <si>
    <t>Suppliers without payment terms</t>
  </si>
  <si>
    <t>Spend without payment terms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</si>
</sst>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2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43" fontId="0" fillId="0" borderId="0" xfId="2" applyFont="1"/>
    <xf numFmtId="43" fontId="4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6304.91306111111" createdVersion="8" refreshedVersion="8" minRefreshableVersion="3" recordCount="120" xr:uid="{1DF923C8-D7D4-D946-94B0-EB1C7771341B}">
  <cacheSource type="worksheet">
    <worksheetSource name="tblSpend"/>
  </cacheSource>
  <cacheFields count="12">
    <cacheField name="Golden ID" numFmtId="0">
      <sharedItems/>
    </cacheField>
    <cacheField name="Supplier" numFmtId="0">
      <sharedItems/>
    </cacheField>
    <cacheField name="Country" numFmtId="0">
      <sharedItems/>
    </cacheField>
    <cacheField name="Commodity" numFmtId="0">
      <sharedItems/>
    </cacheField>
    <cacheField name="Segment (M2)" numFmtId="0">
      <sharedItems count="5">
        <s v="Strategic and reliable"/>
        <s v="Quality risk"/>
        <s v="Critical: quality and delivery"/>
        <s v="Delivery risk"/>
        <s v="Reliable, lower spend"/>
      </sharedItems>
    </cacheField>
    <cacheField name="Spend (EUR)" numFmtId="3">
      <sharedItems containsSemiMixedTypes="0" containsString="0" containsNumber="1" containsInteger="1" minValue="271699" maxValue="8729465"/>
    </cacheField>
    <cacheField name="OTD %" numFmtId="164">
      <sharedItems containsSemiMixedTypes="0" containsString="0" containsNumber="1" minValue="16.7" maxValue="100"/>
    </cacheField>
    <cacheField name="PPM" numFmtId="3">
      <sharedItems containsSemiMixedTypes="0" containsString="0" containsNumber="1" containsInteger="1" minValue="0" maxValue="5338"/>
    </cacheField>
    <cacheField name="Payment term" numFmtId="0">
      <sharedItems/>
    </cacheField>
    <cacheField name="Spend share" numFmtId="9">
      <sharedItems containsSemiMixedTypes="0" containsString="0" containsNumber="1" minValue="9.3000397075847273E-4" maxValue="2.9880261291344874E-2"/>
    </cacheField>
    <cacheField name="Cumulative share" numFmtId="9">
      <sharedItems containsSemiMixedTypes="0" containsString="0" containsNumber="1" minValue="2.9880261291344874E-2" maxValue="1"/>
    </cacheField>
    <cacheField name="ABC 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G0098"/>
    <s v="KAPPATEC GMBH"/>
    <s v="AT"/>
    <s v="Plastic housings"/>
    <x v="0"/>
    <n v="8729465"/>
    <n v="87"/>
    <n v="117"/>
    <s v="NT60"/>
    <n v="2.9880261291344874E-2"/>
    <n v="2.9880261291344874E-2"/>
    <s v="A"/>
  </r>
  <r>
    <s v="G0016"/>
    <s v="Lumencast GmbH"/>
    <s v="AT"/>
    <s v="Packaging"/>
    <x v="1"/>
    <n v="8166335"/>
    <n v="94.9"/>
    <n v="699"/>
    <s v="missing"/>
    <n v="2.7952712290232544E-2"/>
    <n v="5.7832973581577421E-2"/>
    <s v="A"/>
  </r>
  <r>
    <s v="G0102"/>
    <s v="Deltaarts SAS"/>
    <s v="FR"/>
    <s v="Valves"/>
    <x v="0"/>
    <n v="7892755"/>
    <n v="93.3"/>
    <n v="134"/>
    <s v="NT30"/>
    <n v="2.7016269806748604E-2"/>
    <n v="8.4849243388326029E-2"/>
    <s v="A"/>
  </r>
  <r>
    <s v="G0052"/>
    <s v="Krafttec GmbH"/>
    <s v="DE"/>
    <s v="Plastic housings"/>
    <x v="1"/>
    <n v="7297508"/>
    <n v="85.1"/>
    <n v="789"/>
    <s v="NT60"/>
    <n v="2.4978786880488043E-2"/>
    <n v="0.10982803026881408"/>
    <s v="A"/>
  </r>
  <r>
    <s v="G0012"/>
    <s v="Velawerk s.r.o."/>
    <s v="CZ"/>
    <s v="Plastic housings"/>
    <x v="0"/>
    <n v="7016505"/>
    <n v="96.3"/>
    <n v="102"/>
    <s v="NT45"/>
    <n v="2.4016936061033268E-2"/>
    <n v="0.13384496632984735"/>
    <s v="A"/>
  </r>
  <r>
    <s v="G0083"/>
    <s v="Kappawerk GmbH"/>
    <s v="DE"/>
    <s v="Packaging"/>
    <x v="0"/>
    <n v="6591040"/>
    <n v="92.4"/>
    <n v="117"/>
    <s v="NT30"/>
    <n v="2.2560603356758486E-2"/>
    <n v="0.15640556968660585"/>
    <s v="A"/>
  </r>
  <r>
    <s v="G0103"/>
    <s v="TAUROGUSS GMBH"/>
    <s v="DE"/>
    <s v="Rubber seals"/>
    <x v="0"/>
    <n v="6508860"/>
    <n v="88.2"/>
    <n v="60"/>
    <s v="SK14"/>
    <n v="2.2279307782181727E-2"/>
    <n v="0.17868487746878758"/>
    <s v="A"/>
  </r>
  <r>
    <s v="G0044"/>
    <s v="Ventoplast GmbH"/>
    <s v="DE"/>
    <s v="Electronic sensors"/>
    <x v="2"/>
    <n v="6491982"/>
    <n v="58.8"/>
    <n v="911"/>
    <s v="NT60"/>
    <n v="2.2221535736578094E-2"/>
    <n v="0.20090641320536567"/>
    <s v="A"/>
  </r>
  <r>
    <s v="G0063"/>
    <s v="Polarcast Sp. z o.o."/>
    <s v="PL"/>
    <s v="Valves"/>
    <x v="2"/>
    <n v="6425100"/>
    <n v="79.3"/>
    <n v="5265"/>
    <s v="NT45"/>
    <n v="2.1992603993832377E-2"/>
    <n v="0.22289901719919805"/>
    <s v="A"/>
  </r>
  <r>
    <s v="G0094"/>
    <s v="Cerroparts"/>
    <s v="DE"/>
    <s v="Packaging"/>
    <x v="0"/>
    <n v="6072516"/>
    <n v="96.5"/>
    <n v="104"/>
    <s v="NT60"/>
    <n v="2.07857371300386E-2"/>
    <n v="0.24368475432923664"/>
    <s v="A"/>
  </r>
  <r>
    <s v="G0077"/>
    <s v="Orbisparts GmbH"/>
    <s v="DE"/>
    <s v="Hoses &amp; connectors"/>
    <x v="2"/>
    <n v="5969282"/>
    <n v="64.099999999999994"/>
    <n v="916"/>
    <s v="NT45"/>
    <n v="2.0432375395482049E-2"/>
    <n v="0.26411712972471868"/>
    <s v="A"/>
  </r>
  <r>
    <s v="G0117"/>
    <s v="Deltaflex  Sp.  z  o.o."/>
    <s v="PL"/>
    <s v="Aluminium castings"/>
    <x v="3"/>
    <n v="5915328"/>
    <n v="51.6"/>
    <n v="114"/>
    <s v="NT60"/>
    <n v="2.0247695163908497E-2"/>
    <n v="0.28436482488862719"/>
    <s v="A"/>
  </r>
  <r>
    <s v="G0087"/>
    <s v="Polarplast  S.r.l."/>
    <s v="IT"/>
    <s v="Valves"/>
    <x v="0"/>
    <n v="5803633"/>
    <n v="88.9"/>
    <n v="50"/>
    <s v="SK14"/>
    <n v="1.9865372102307727E-2"/>
    <n v="0.3042301969909349"/>
    <s v="A"/>
  </r>
  <r>
    <s v="G0074"/>
    <s v="Alpenguss SAS"/>
    <s v="FR"/>
    <s v="Fasteners"/>
    <x v="1"/>
    <n v="5528859"/>
    <n v="90.4"/>
    <n v="806"/>
    <s v="NT30"/>
    <n v="1.8924842652213364E-2"/>
    <n v="0.32315503964314829"/>
    <s v="A"/>
  </r>
  <r>
    <s v="G0114"/>
    <s v="Orbisflex GmbH"/>
    <s v="DE"/>
    <s v="Plastic housings"/>
    <x v="3"/>
    <n v="4891366"/>
    <n v="83.1"/>
    <n v="140"/>
    <s v="NT60"/>
    <n v="1.6742755043018146E-2"/>
    <n v="0.33989779468616643"/>
    <s v="A"/>
  </r>
  <r>
    <s v="G0070"/>
    <s v="Terraparts GmbH"/>
    <s v="DE"/>
    <s v="Packaging"/>
    <x v="3"/>
    <n v="4886318"/>
    <n v="67.900000000000006"/>
    <n v="173"/>
    <s v="NT30"/>
    <n v="1.6725476142306739E-2"/>
    <n v="0.35662327082847317"/>
    <s v="A"/>
  </r>
  <r>
    <s v="G0022"/>
    <s v="Velacast GmbH"/>
    <s v="AT"/>
    <s v="Plastic housings"/>
    <x v="0"/>
    <n v="4635149"/>
    <n v="91.8"/>
    <n v="24"/>
    <s v="NT60"/>
    <n v="1.586574472139082E-2"/>
    <n v="0.37248901554986397"/>
    <s v="A"/>
  </r>
  <r>
    <s v="G0009"/>
    <s v="Alpentronic GmbH"/>
    <s v="DE"/>
    <s v="Rubber seals"/>
    <x v="0"/>
    <n v="4527145"/>
    <n v="96.6"/>
    <n v="75"/>
    <s v="NT45"/>
    <n v="1.5496055657913227E-2"/>
    <n v="0.3879850712077772"/>
    <s v="A"/>
  </r>
  <r>
    <s v="G0048"/>
    <s v="Ferrocast GmbH"/>
    <s v="DE"/>
    <s v="Aluminium castings"/>
    <x v="1"/>
    <n v="4516419"/>
    <n v="94.1"/>
    <n v="747"/>
    <s v="NT45"/>
    <n v="1.5459341416821594E-2"/>
    <n v="0.40344441262459879"/>
    <s v="A"/>
  </r>
  <r>
    <s v="G0058"/>
    <s v="Boraline GmbH"/>
    <s v="DE"/>
    <s v="Fasteners"/>
    <x v="2"/>
    <n v="4112508"/>
    <n v="41.7"/>
    <n v="980"/>
    <s v="NT60"/>
    <n v="1.407678633258122E-2"/>
    <n v="0.41752119895717998"/>
    <s v="A"/>
  </r>
  <r>
    <s v="G0080"/>
    <s v="Velaline S.r.l."/>
    <s v="IT"/>
    <s v="Aluminium castings"/>
    <x v="2"/>
    <n v="4009816"/>
    <n v="73.8"/>
    <n v="893"/>
    <s v="NT60"/>
    <n v="1.3725279820723874E-2"/>
    <n v="0.43124647877790384"/>
    <s v="A"/>
  </r>
  <r>
    <s v="G0082"/>
    <s v="Ferrotronic S.r.l."/>
    <s v="IT"/>
    <s v="Plastic housings"/>
    <x v="3"/>
    <n v="3901204"/>
    <n v="70"/>
    <n v="146"/>
    <s v="NT60"/>
    <n v="1.3353509621819869E-2"/>
    <n v="0.4445999883997237"/>
    <s v="A"/>
  </r>
  <r>
    <s v="G0002"/>
    <s v="Ferroform s.r.o."/>
    <s v="CZ"/>
    <s v="Hoses &amp; connectors"/>
    <x v="2"/>
    <n v="3850896"/>
    <n v="77.099999999999994"/>
    <n v="902"/>
    <s v="NT60"/>
    <n v="1.318130935696458E-2"/>
    <n v="0.4577812977566883"/>
    <s v="A"/>
  </r>
  <r>
    <s v="G0101"/>
    <s v="RHEINGUSS SAS"/>
    <s v="FR"/>
    <s v="Plastic housings"/>
    <x v="3"/>
    <n v="3790329"/>
    <n v="58.8"/>
    <n v="164"/>
    <s v="NT30"/>
    <n v="1.297399335470867E-2"/>
    <n v="0.47075529111139697"/>
    <s v="A"/>
  </r>
  <r>
    <s v="G0118"/>
    <s v="Cerroform  S.r.l."/>
    <s v="IT"/>
    <s v="Valves"/>
    <x v="0"/>
    <n v="3669523"/>
    <n v="95.9"/>
    <n v="90"/>
    <s v="NT30"/>
    <n v="1.2560484067992679E-2"/>
    <n v="0.48331577517938967"/>
    <s v="A"/>
  </r>
  <r>
    <s v="G0079"/>
    <s v="Primaparts GmbH"/>
    <s v="DE"/>
    <s v="Electronic sensors"/>
    <x v="0"/>
    <n v="3559963"/>
    <n v="90"/>
    <n v="87"/>
    <s v="NT30"/>
    <n v="1.2185468940825122E-2"/>
    <n v="0.49550124412021479"/>
    <s v="A"/>
  </r>
  <r>
    <s v="G0024"/>
    <s v="NORDCAST SP. Z O.O."/>
    <s v="PL"/>
    <s v="Plastic housings"/>
    <x v="2"/>
    <n v="3489820"/>
    <n v="82.1"/>
    <n v="743"/>
    <s v="SK14"/>
    <n v="1.1945375055603199E-2"/>
    <n v="0.50744661917581801"/>
    <s v="A"/>
  </r>
  <r>
    <s v="G0032"/>
    <s v="Voltacast GmbH"/>
    <s v="DE"/>
    <s v="Packaging"/>
    <x v="1"/>
    <n v="3460790"/>
    <n v="94.9"/>
    <n v="797"/>
    <s v="NT45"/>
    <n v="1.1846007684832167E-2"/>
    <n v="0.51929262686065014"/>
    <s v="A"/>
  </r>
  <r>
    <s v="G0085"/>
    <s v="Voltatec GmbH"/>
    <s v="DE"/>
    <s v="Aluminium castings"/>
    <x v="1"/>
    <n v="3429954"/>
    <n v="86.5"/>
    <n v="5270"/>
    <s v="SK14"/>
    <n v="1.1740458520343861E-2"/>
    <n v="0.53103308538099403"/>
    <s v="A"/>
  </r>
  <r>
    <s v="G0038"/>
    <s v="Voltawerk GmbH"/>
    <s v="DE"/>
    <s v="Hoses &amp; connectors"/>
    <x v="2"/>
    <n v="3295628"/>
    <n v="65.5"/>
    <n v="943"/>
    <s v="NT60"/>
    <n v="1.128067135375104E-2"/>
    <n v="0.54231375673474502"/>
    <s v="A"/>
  </r>
  <r>
    <s v="G0037"/>
    <s v="Ferroflex GmbH"/>
    <s v="DE"/>
    <s v="Hoses &amp; connectors"/>
    <x v="2"/>
    <n v="3104710"/>
    <n v="72.5"/>
    <n v="748"/>
    <s v="NT30"/>
    <n v="1.0627174292336512E-2"/>
    <n v="0.55294093102708153"/>
    <s v="A"/>
  </r>
  <r>
    <s v="G0086"/>
    <s v="Terraseal  SAS"/>
    <s v="FR"/>
    <s v="Rubber seals"/>
    <x v="0"/>
    <n v="3090622"/>
    <n v="94.1"/>
    <n v="133"/>
    <s v="SK14"/>
    <n v="1.0578952193837638E-2"/>
    <n v="0.56351988322091917"/>
    <s v="A"/>
  </r>
  <r>
    <s v="G0028"/>
    <s v="Novaseal GmbH"/>
    <s v="DE"/>
    <s v="Rubber seals"/>
    <x v="1"/>
    <n v="3030493"/>
    <n v="91.9"/>
    <n v="835"/>
    <s v="SK14"/>
    <n v="1.0373135430589573E-2"/>
    <n v="0.57389301865150877"/>
    <s v="A"/>
  </r>
  <r>
    <s v="G0015"/>
    <s v="Silberline S.r.l."/>
    <s v="IT"/>
    <s v="Packaging"/>
    <x v="2"/>
    <n v="2959201"/>
    <n v="54.3"/>
    <n v="670"/>
    <s v="SK14"/>
    <n v="1.0129108610162139E-2"/>
    <n v="0.58402212726167091"/>
    <s v="A"/>
  </r>
  <r>
    <s v="G0006"/>
    <s v="Aquametal GmbH"/>
    <s v="DE"/>
    <s v="Valves"/>
    <x v="3"/>
    <n v="2943032"/>
    <n v="75"/>
    <n v="85"/>
    <s v="NT60"/>
    <n v="1.0073763414915953E-2"/>
    <n v="0.59409589067658686"/>
    <s v="A"/>
  </r>
  <r>
    <s v="G0091"/>
    <s v="Nordplast  s.r.o."/>
    <s v="CZ"/>
    <s v="Rubber seals"/>
    <x v="3"/>
    <n v="2923417"/>
    <n v="42.5"/>
    <n v="127"/>
    <s v="SK14"/>
    <n v="1.000662283697335E-2"/>
    <n v="0.60410251351356026"/>
    <s v="A"/>
  </r>
  <r>
    <s v="G0004"/>
    <s v="Ventoline S.r.l."/>
    <s v="IT"/>
    <s v="Electronic sensors"/>
    <x v="2"/>
    <n v="2882552"/>
    <n v="81.8"/>
    <n v="869"/>
    <s v="NT30"/>
    <n v="9.8667452067095467E-3"/>
    <n v="0.61396925872026975"/>
    <s v="A"/>
  </r>
  <r>
    <s v="G0023"/>
    <s v="Taurometal Sp. z o.o."/>
    <s v="PL"/>
    <s v="Brazed heat exchangers"/>
    <x v="2"/>
    <n v="2871672"/>
    <n v="76.5"/>
    <n v="4588"/>
    <s v="NT30"/>
    <n v="9.8295038359210926E-3"/>
    <n v="0.62379876255619082"/>
    <s v="A"/>
  </r>
  <r>
    <s v="G0059"/>
    <s v="Alpencast Sp. z o.o."/>
    <s v="PL"/>
    <s v="Hoses &amp; connectors"/>
    <x v="3"/>
    <n v="2865400"/>
    <n v="64.5"/>
    <n v="19"/>
    <s v="SK14"/>
    <n v="9.8080352809959831E-3"/>
    <n v="0.63360679783718676"/>
    <s v="A"/>
  </r>
  <r>
    <s v="G0026"/>
    <s v="Kappaplast GmbH"/>
    <s v="DE"/>
    <s v="Fasteners"/>
    <x v="2"/>
    <n v="2825038"/>
    <n v="73.099999999999994"/>
    <n v="816"/>
    <s v="NT60"/>
    <n v="9.6698793795471239E-3"/>
    <n v="0.64327667721673387"/>
    <s v="A"/>
  </r>
  <r>
    <s v="G0050"/>
    <s v="Atlasflex GmbH"/>
    <s v="AT"/>
    <s v="Electronic sensors"/>
    <x v="0"/>
    <n v="2697901"/>
    <n v="96.9"/>
    <n v="113"/>
    <s v="NT30"/>
    <n v="9.2346995856195796E-3"/>
    <n v="0.65251137680235349"/>
    <s v="A"/>
  </r>
  <r>
    <s v="G0061"/>
    <s v="Kraftflex s.r.o."/>
    <s v="CZ"/>
    <s v="Plastic housings"/>
    <x v="2"/>
    <n v="2629295"/>
    <n v="36.4"/>
    <n v="863"/>
    <s v="NT60"/>
    <n v="8.9998667286055462E-3"/>
    <n v="0.66151124353095903"/>
    <s v="A"/>
  </r>
  <r>
    <s v="G0030"/>
    <s v="Silbermetal s.r.o."/>
    <s v="CZ"/>
    <s v="Valves"/>
    <x v="0"/>
    <n v="2483150"/>
    <n v="90.9"/>
    <n v="68"/>
    <s v="NT60"/>
    <n v="8.4996240692417034E-3"/>
    <n v="0.67001086760020068"/>
    <s v="A"/>
  </r>
  <r>
    <s v="G0010"/>
    <s v="Deltaguss GmbH"/>
    <s v="DE"/>
    <s v="Fasteners"/>
    <x v="3"/>
    <n v="2466796"/>
    <n v="51.6"/>
    <n v="68"/>
    <s v="NT45"/>
    <n v="8.4436456337753079E-3"/>
    <n v="0.67845451323397599"/>
    <s v="A"/>
  </r>
  <r>
    <s v="G0035"/>
    <s v="Alpenwerk GmbH"/>
    <s v="AT"/>
    <s v="Electronic sensors"/>
    <x v="1"/>
    <n v="2435186"/>
    <n v="96"/>
    <n v="4612"/>
    <s v="NT30"/>
    <n v="8.3354471291224551E-3"/>
    <n v="0.68678996036309847"/>
    <s v="A"/>
  </r>
  <r>
    <s v="G0113"/>
    <s v="FERROMETAL GMBH"/>
    <s v="DE"/>
    <s v="Brazed heat exchangers"/>
    <x v="0"/>
    <n v="2325849"/>
    <n v="90"/>
    <n v="189"/>
    <s v="NT45"/>
    <n v="7.9611953131392566E-3"/>
    <n v="0.69475115567623769"/>
    <s v="A"/>
  </r>
  <r>
    <s v="G0039"/>
    <s v="Ferroparts GmbH"/>
    <s v="DE"/>
    <s v="Electronic sensors"/>
    <x v="0"/>
    <n v="2314507"/>
    <n v="93.9"/>
    <n v="110"/>
    <s v="NT60"/>
    <n v="7.9223725532603373E-3"/>
    <n v="0.70267352822949802"/>
    <s v="A"/>
  </r>
  <r>
    <s v="G0051"/>
    <s v="Voltaplast GmbH"/>
    <s v="DE"/>
    <s v="Fasteners"/>
    <x v="3"/>
    <n v="2304631"/>
    <n v="71.400000000000006"/>
    <n v="100"/>
    <s v="missing"/>
    <n v="7.8885677942615532E-3"/>
    <n v="0.71056209602375953"/>
    <s v="A"/>
  </r>
  <r>
    <s v="G0031"/>
    <s v="Kraftseal S.r.l."/>
    <s v="IT"/>
    <s v="Valves"/>
    <x v="0"/>
    <n v="2255266"/>
    <n v="85.7"/>
    <n v="134"/>
    <s v="NT60"/>
    <n v="7.7195953430692701E-3"/>
    <n v="0.71828169136682884"/>
    <s v="A"/>
  </r>
  <r>
    <s v="G0021"/>
    <s v="Velaguss Sp. z o.o."/>
    <s v="PL"/>
    <s v="Plastic housings"/>
    <x v="3"/>
    <n v="2235309"/>
    <n v="65"/>
    <n v="76"/>
    <s v="NT45"/>
    <n v="7.6512841264493089E-3"/>
    <n v="0.72593297549327818"/>
    <s v="A"/>
  </r>
  <r>
    <s v="G0041"/>
    <s v="Atlasplast Sp. z o.o."/>
    <s v="PL"/>
    <s v="Brazed heat exchangers"/>
    <x v="0"/>
    <n v="2128201"/>
    <n v="100"/>
    <n v="109"/>
    <s v="NT30"/>
    <n v="7.2846619993895906E-3"/>
    <n v="0.73321763749266777"/>
    <s v="A"/>
  </r>
  <r>
    <s v="G0027"/>
    <s v="PRIMAFORM S.R.L."/>
    <s v="IT"/>
    <s v="Brazed heat exchangers"/>
    <x v="0"/>
    <n v="2119288"/>
    <n v="91.7"/>
    <n v="147"/>
    <s v="NT60"/>
    <n v="7.2541535124559979E-3"/>
    <n v="0.74047179100512373"/>
    <s v="A"/>
  </r>
  <r>
    <s v="G0109"/>
    <s v="Vltatronic Sp. z o.o."/>
    <s v="PL"/>
    <s v="Valves"/>
    <x v="2"/>
    <n v="2096576"/>
    <n v="72.2"/>
    <n v="1167"/>
    <s v="NT60"/>
    <n v="7.1764121509350996E-3"/>
    <n v="0.74764820315605884"/>
    <s v="A"/>
  </r>
  <r>
    <s v="G0097"/>
    <s v="Kraftcast  Sp.  z  o.o."/>
    <s v="PL"/>
    <s v="Electronic sensors"/>
    <x v="0"/>
    <n v="2078432"/>
    <n v="94.6"/>
    <n v="167"/>
    <s v="NT30"/>
    <n v="7.1143066884731777E-3"/>
    <n v="0.75476250984453197"/>
    <s v="A"/>
  </r>
  <r>
    <s v="G0120"/>
    <s v="Taurotec  GmbH"/>
    <s v="DE"/>
    <s v="Aluminium castings"/>
    <x v="0"/>
    <n v="2056747"/>
    <n v="94.7"/>
    <n v="107"/>
    <s v="SK14"/>
    <n v="7.0400806659044624E-3"/>
    <n v="0.76180259051043642"/>
    <s v="A"/>
  </r>
  <r>
    <s v="G0072"/>
    <s v="Nordwerk GmbH"/>
    <s v="AT"/>
    <s v="Rubber seals"/>
    <x v="1"/>
    <n v="2053464"/>
    <n v="87.5"/>
    <n v="1013"/>
    <s v="NT45"/>
    <n v="7.0288432191858508E-3"/>
    <n v="0.76883143372962226"/>
    <s v="A"/>
  </r>
  <r>
    <s v="G0110"/>
    <s v="KRAFTFORM SAS"/>
    <s v="FR"/>
    <s v="Rubber seals"/>
    <x v="1"/>
    <n v="1985456"/>
    <n v="86.7"/>
    <n v="730"/>
    <s v="NT45"/>
    <n v="6.796057268397139E-3"/>
    <n v="0.77562749099801942"/>
    <s v="A"/>
  </r>
  <r>
    <s v="G0029"/>
    <s v="Ventoseal GmbH"/>
    <s v="DE"/>
    <s v="Valves"/>
    <x v="2"/>
    <n v="1970618"/>
    <n v="73.7"/>
    <n v="718"/>
    <s v="NT60"/>
    <n v="6.745267979816341E-3"/>
    <n v="0.78237275897783576"/>
    <s v="A"/>
  </r>
  <r>
    <s v="G0013"/>
    <s v="Tauroparts S.r.l."/>
    <s v="IT"/>
    <s v="Electronic sensors"/>
    <x v="2"/>
    <n v="1919165"/>
    <n v="72.2"/>
    <n v="810"/>
    <s v="NT30"/>
    <n v="6.56914847143598E-3"/>
    <n v="0.78894190744927173"/>
    <s v="A"/>
  </r>
  <r>
    <s v="G0066"/>
    <s v="Boratronic SAS"/>
    <s v="FR"/>
    <s v="Electronic sensors"/>
    <x v="0"/>
    <n v="1917140"/>
    <n v="88"/>
    <n v="109"/>
    <s v="SK14"/>
    <n v="6.5622170582147832E-3"/>
    <n v="0.79550412450748653"/>
    <s v="A"/>
  </r>
  <r>
    <s v="G0068"/>
    <s v="Deltametal Sp. z o.o."/>
    <s v="PL"/>
    <s v="Hoses &amp; connectors"/>
    <x v="3"/>
    <n v="1878888"/>
    <n v="68.8"/>
    <n v="145"/>
    <s v="NT60"/>
    <n v="6.4312835181964062E-3"/>
    <n v="0.80193540802568297"/>
    <s v="B"/>
  </r>
  <r>
    <s v="G0034"/>
    <s v="Novametal Sp. z o.o."/>
    <s v="PL"/>
    <s v="Brazed heat exchangers"/>
    <x v="4"/>
    <n v="1870250"/>
    <n v="100"/>
    <n v="0"/>
    <s v="NT60"/>
    <n v="6.4017163342928521E-3"/>
    <n v="0.80833712435997584"/>
    <s v="B"/>
  </r>
  <r>
    <s v="G0019"/>
    <s v="Kraftguss s.r.o."/>
    <s v="CZ"/>
    <s v="Brazed heat exchangers"/>
    <x v="2"/>
    <n v="1863627"/>
    <n v="57.1"/>
    <n v="4508"/>
    <s v="SK14"/>
    <n v="6.3790463344094023E-3"/>
    <n v="0.81471617069438529"/>
    <s v="B"/>
  </r>
  <r>
    <s v="G0078"/>
    <s v="Velaseal s.r.o."/>
    <s v="CZ"/>
    <s v="Valves"/>
    <x v="2"/>
    <n v="1818970"/>
    <n v="44.4"/>
    <n v="4723"/>
    <s v="NT30"/>
    <n v="6.2261889910913883E-3"/>
    <n v="0.82094235968547669"/>
    <s v="B"/>
  </r>
  <r>
    <s v="G0092"/>
    <s v="RHEINSEAL GMBH"/>
    <s v="DE"/>
    <s v="Hoses &amp; connectors"/>
    <x v="3"/>
    <n v="1780307"/>
    <n v="79.3"/>
    <n v="135"/>
    <s v="SK14"/>
    <n v="6.0938486309081163E-3"/>
    <n v="0.8270362083163848"/>
    <s v="B"/>
  </r>
  <r>
    <s v="G0107"/>
    <s v="Nordtronic"/>
    <s v="DE"/>
    <s v="Packaging"/>
    <x v="3"/>
    <n v="1727420"/>
    <n v="42.9"/>
    <n v="165"/>
    <s v="SK14"/>
    <n v="5.9128206550911151E-3"/>
    <n v="0.83294902897147594"/>
    <s v="B"/>
  </r>
  <r>
    <s v="G0060"/>
    <s v="Atlasparts Sp. z o.o."/>
    <s v="PL"/>
    <s v="Electronic sensors"/>
    <x v="4"/>
    <n v="1719814"/>
    <n v="94.1"/>
    <n v="110"/>
    <s v="NT60"/>
    <n v="5.8867859247402898E-3"/>
    <n v="0.83883581489621628"/>
    <s v="B"/>
  </r>
  <r>
    <s v="G0089"/>
    <s v="Boratc S.r.l."/>
    <s v="IT"/>
    <s v="Electronic sensors"/>
    <x v="1"/>
    <n v="1693890"/>
    <n v="94.7"/>
    <n v="705"/>
    <s v="SK14"/>
    <n v="5.7980501438285358E-3"/>
    <n v="0.84463386504004478"/>
    <s v="B"/>
  </r>
  <r>
    <s v="G0088"/>
    <s v="Orbisguss"/>
    <s v="DE"/>
    <s v="Rubber seals"/>
    <x v="3"/>
    <n v="1625687"/>
    <n v="70.599999999999994"/>
    <n v="211"/>
    <s v="NT45"/>
    <n v="5.5645967236185234E-3"/>
    <n v="0.85019846176366332"/>
    <s v="B"/>
  </r>
  <r>
    <s v="G0090"/>
    <s v="Tauroseal"/>
    <s v="DE"/>
    <s v="Aluminium castings"/>
    <x v="3"/>
    <n v="1545398"/>
    <n v="54.2"/>
    <n v="0"/>
    <s v="NT60"/>
    <n v="5.2897738909683228E-3"/>
    <n v="0.85548823565463161"/>
    <s v="B"/>
  </r>
  <r>
    <s v="G0020"/>
    <s v="Boraseal GmbH"/>
    <s v="DE"/>
    <s v="Brazed heat exchangers"/>
    <x v="2"/>
    <n v="1544505"/>
    <n v="63.6"/>
    <n v="861"/>
    <s v="NT30"/>
    <n v="5.2867172233107777E-3"/>
    <n v="0.86077495287794237"/>
    <s v="B"/>
  </r>
  <r>
    <s v="G0036"/>
    <s v="Atlasguss  GmbH"/>
    <s v="DE"/>
    <s v="Rubber seals"/>
    <x v="4"/>
    <n v="1532145"/>
    <n v="87.5"/>
    <n v="118"/>
    <s v="NT30"/>
    <n v="5.2444099307606589E-3"/>
    <n v="0.86601936280870306"/>
    <s v="B"/>
  </r>
  <r>
    <s v="G0084"/>
    <s v="Silberwerk s.r.o."/>
    <s v="CZ"/>
    <s v="Electronic sensors"/>
    <x v="3"/>
    <n v="1479272"/>
    <n v="63.6"/>
    <n v="53"/>
    <s v="NT30"/>
    <n v="5.063429875825187E-3"/>
    <n v="0.87108279268452826"/>
    <s v="B"/>
  </r>
  <r>
    <s v="G0011"/>
    <s v="Cerrocast s.r.o."/>
    <s v="CZ"/>
    <s v="Valves"/>
    <x v="2"/>
    <n v="1406564"/>
    <n v="52.2"/>
    <n v="885"/>
    <s v="SK14"/>
    <n v="4.8145562005230801E-3"/>
    <n v="0.87589734888505133"/>
    <s v="B"/>
  </r>
  <r>
    <s v="G0056"/>
    <s v="Deltaform Sp. z o.o."/>
    <s v="PL"/>
    <s v="Packaging"/>
    <x v="1"/>
    <n v="1405509"/>
    <n v="95.2"/>
    <n v="5227"/>
    <s v="SK14"/>
    <n v="4.8109450198078399E-3"/>
    <n v="0.88070829390485916"/>
    <s v="B"/>
  </r>
  <r>
    <s v="G0043"/>
    <s v="Cerrowerk Sp. z o.o."/>
    <s v="PL"/>
    <s v="Brazed heat exchangers"/>
    <x v="3"/>
    <n v="1292882"/>
    <n v="57.1"/>
    <n v="248"/>
    <s v="SK14"/>
    <n v="4.4254317966652646E-3"/>
    <n v="0.88513372570152438"/>
    <s v="B"/>
  </r>
  <r>
    <s v="G0001"/>
    <s v="Deltaplast GmbH"/>
    <s v="DE"/>
    <s v="Aluminium castings"/>
    <x v="4"/>
    <n v="1268156"/>
    <n v="100"/>
    <n v="81"/>
    <s v="missing"/>
    <n v="4.3407966740443716E-3"/>
    <n v="0.88947452237556879"/>
    <s v="B"/>
  </r>
  <r>
    <s v="G0081"/>
    <s v="Aquaplast s.r.o."/>
    <s v="CZ"/>
    <s v="Rubber seals"/>
    <x v="4"/>
    <n v="1172222"/>
    <n v="85.7"/>
    <n v="75"/>
    <s v="NT60"/>
    <n v="4.0124222562852212E-3"/>
    <n v="0.89348694463185396"/>
    <s v="B"/>
  </r>
  <r>
    <s v="G0073"/>
    <s v="Ventoguss GmbH"/>
    <s v="DE"/>
    <s v="Brazed heat exchangers"/>
    <x v="2"/>
    <n v="1150286"/>
    <n v="58.3"/>
    <n v="1048"/>
    <s v="NT60"/>
    <n v="3.9373370807690884E-3"/>
    <n v="0.89742428171262301"/>
    <s v="B"/>
  </r>
  <r>
    <s v="G0042"/>
    <s v="Tauroform Sp. z o.o."/>
    <s v="PL"/>
    <s v="Rubber seals"/>
    <x v="2"/>
    <n v="1138729"/>
    <n v="46.2"/>
    <n v="550"/>
    <s v="SK14"/>
    <n v="3.8977783930666835E-3"/>
    <n v="0.90132206010568972"/>
    <s v="B"/>
  </r>
  <r>
    <s v="G0116"/>
    <s v="Atlastronc GmbH"/>
    <s v="DE"/>
    <s v="Hoses &amp; connectors"/>
    <x v="4"/>
    <n v="1113399"/>
    <n v="100"/>
    <n v="288"/>
    <s v="NT60"/>
    <n v="3.8110758266998142E-3"/>
    <n v="0.90513313593238953"/>
    <s v="B"/>
  </r>
  <r>
    <s v="G0065"/>
    <s v="Kappaform GmbH"/>
    <s v="AT"/>
    <s v="Hoses &amp; connectors"/>
    <x v="3"/>
    <n v="1111745"/>
    <n v="80"/>
    <n v="74"/>
    <s v="NT45"/>
    <n v="3.8054143168391426E-3"/>
    <n v="0.90893855024922865"/>
    <s v="B"/>
  </r>
  <r>
    <s v="G0093"/>
    <s v="Orbistronic"/>
    <s v="IT"/>
    <s v="Electronic sensors"/>
    <x v="3"/>
    <n v="1093804"/>
    <n v="69.2"/>
    <n v="81"/>
    <s v="NT45"/>
    <n v="3.7440037071593949E-3"/>
    <n v="0.91268255395638809"/>
    <s v="B"/>
  </r>
  <r>
    <s v="G0014"/>
    <s v="Velaparts s.r.o."/>
    <s v="CZ"/>
    <s v="Rubber seals"/>
    <x v="1"/>
    <n v="1061536"/>
    <n v="90.9"/>
    <n v="503"/>
    <s v="NT30"/>
    <n v="3.6335529210746675E-3"/>
    <n v="0.91631610687746279"/>
    <s v="B"/>
  </r>
  <r>
    <s v="G0049"/>
    <s v="Novaline GmbH"/>
    <s v="DE"/>
    <s v="Hoses &amp; connectors"/>
    <x v="2"/>
    <n v="1055719"/>
    <n v="76.900000000000006"/>
    <n v="725"/>
    <s v="NT60"/>
    <n v="3.6136417947992597E-3"/>
    <n v="0.91992974867226207"/>
    <s v="B"/>
  </r>
  <r>
    <s v="G0076"/>
    <s v="Aquatronic GmbH"/>
    <s v="DE"/>
    <s v="Rubber seals"/>
    <x v="3"/>
    <n v="1037511"/>
    <n v="70"/>
    <n v="116"/>
    <s v="NT45"/>
    <n v="3.551317265450347E-3"/>
    <n v="0.9234810659377124"/>
    <s v="B"/>
  </r>
  <r>
    <s v="G0003"/>
    <s v="Atlaswerk GmbH"/>
    <s v="DE"/>
    <s v="Packaging"/>
    <x v="3"/>
    <n v="1011810"/>
    <n v="80"/>
    <n v="0"/>
    <s v="SK14"/>
    <n v="3.4633447957229517E-3"/>
    <n v="0.92694441073343536"/>
    <s v="B"/>
  </r>
  <r>
    <s v="G0067"/>
    <s v="Polarmetal s.r.o."/>
    <s v="CZ"/>
    <s v="Hoses &amp; connectors"/>
    <x v="1"/>
    <n v="1005997"/>
    <n v="100"/>
    <n v="5294"/>
    <s v="SK14"/>
    <n v="3.4434473611279809E-3"/>
    <n v="0.93038785809456337"/>
    <s v="B"/>
  </r>
  <r>
    <s v="G0069"/>
    <s v="Lumenwerk s.r.o."/>
    <s v="CZ"/>
    <s v="Plastic housings"/>
    <x v="2"/>
    <n v="997560"/>
    <n v="72.7"/>
    <n v="1095"/>
    <s v="NT45"/>
    <n v="3.4145681841663829E-3"/>
    <n v="0.93380242627872978"/>
    <s v="B"/>
  </r>
  <r>
    <s v="G0017"/>
    <s v="Novawerk GmbH"/>
    <s v="DE"/>
    <s v="Packaging"/>
    <x v="2"/>
    <n v="972085"/>
    <n v="64.3"/>
    <n v="4586"/>
    <s v="SK14"/>
    <n v="3.3273692943836743E-3"/>
    <n v="0.93712979557311349"/>
    <s v="B"/>
  </r>
  <r>
    <s v="G0033"/>
    <s v="Primaplast S.r.l."/>
    <s v="IT"/>
    <s v="Valves"/>
    <x v="1"/>
    <n v="962516"/>
    <n v="100"/>
    <n v="1082"/>
    <s v="NT60"/>
    <n v="3.2946153718584246E-3"/>
    <n v="0.94042441094497187"/>
    <s v="B"/>
  </r>
  <r>
    <s v="G0062"/>
    <s v="Rheinplast S.r.l."/>
    <s v="IT"/>
    <s v="Valves"/>
    <x v="4"/>
    <n v="948328"/>
    <n v="100"/>
    <n v="57"/>
    <s v="missing"/>
    <n v="3.2460509813486281E-3"/>
    <n v="0.94367046192632054"/>
    <s v="B"/>
  </r>
  <r>
    <s v="G0008"/>
    <s v="Polarparts GmbH"/>
    <s v="DE"/>
    <s v="Valves"/>
    <x v="3"/>
    <n v="872158"/>
    <n v="33.299999999999997"/>
    <n v="211"/>
    <s v="NT30"/>
    <n v="2.9853271566283573E-3"/>
    <n v="0.9466557890829489"/>
    <s v="B"/>
  </r>
  <r>
    <s v="G0047"/>
    <s v="Lumenparts GmbH"/>
    <s v="DE"/>
    <s v="Electronic sensors"/>
    <x v="4"/>
    <n v="849030"/>
    <n v="100"/>
    <n v="167"/>
    <s v="SK14"/>
    <n v="2.9061618603420185E-3"/>
    <n v="0.94956195094329088"/>
    <s v="B"/>
  </r>
  <r>
    <s v="G0057"/>
    <s v="Ventotronic GmbH"/>
    <s v="AT"/>
    <s v="Packaging"/>
    <x v="4"/>
    <n v="847714"/>
    <n v="100"/>
    <n v="83"/>
    <s v="SK14"/>
    <n v="2.9016572974782679E-3"/>
    <n v="0.95246360824076914"/>
    <s v="C"/>
  </r>
  <r>
    <s v="G0111"/>
    <s v="Teraplast GmbH"/>
    <s v="DE"/>
    <s v="Valves"/>
    <x v="3"/>
    <n v="847410"/>
    <n v="16.7"/>
    <n v="73"/>
    <s v="SK14"/>
    <n v="2.9006167297650613E-3"/>
    <n v="0.95536422497053419"/>
    <s v="C"/>
  </r>
  <r>
    <s v="G0099"/>
    <s v="Boraflex  s.r.o."/>
    <s v="CZ"/>
    <s v="Rubber seals"/>
    <x v="2"/>
    <n v="840934"/>
    <n v="50"/>
    <n v="1333"/>
    <s v="NT45"/>
    <n v="2.8784498991376688E-3"/>
    <n v="0.95824267486967185"/>
    <s v="C"/>
  </r>
  <r>
    <s v="G0115"/>
    <s v="Deltatc s.r.o."/>
    <s v="CZ"/>
    <s v="Brazed heat exchangers"/>
    <x v="1"/>
    <n v="832309"/>
    <n v="100"/>
    <n v="4103"/>
    <s v="NT30"/>
    <n v="2.8489272131955348E-3"/>
    <n v="0.96109160208286737"/>
    <s v="C"/>
  </r>
  <r>
    <s v="G0053"/>
    <s v="Lumenform GmbH"/>
    <s v="DE"/>
    <s v="Plastic housings"/>
    <x v="3"/>
    <n v="779982"/>
    <n v="83.3"/>
    <n v="303"/>
    <s v="NT45"/>
    <n v="2.6698160726397044E-3"/>
    <n v="0.96376141815550709"/>
    <s v="C"/>
  </r>
  <r>
    <s v="G0071"/>
    <s v="Ventometal GmbH"/>
    <s v="AT"/>
    <s v="Rubber seals"/>
    <x v="4"/>
    <n v="706783"/>
    <n v="100"/>
    <n v="110"/>
    <s v="NT30"/>
    <n v="2.4192617435639645E-3"/>
    <n v="0.96618067989907108"/>
    <s v="C"/>
  </r>
  <r>
    <s v="G0045"/>
    <s v="Novaform GmbH"/>
    <s v="DE"/>
    <s v="Plastic housings"/>
    <x v="1"/>
    <n v="691913"/>
    <n v="90.9"/>
    <n v="1193"/>
    <s v="NT45"/>
    <n v="2.3683629215396711E-3"/>
    <n v="0.96854904282061072"/>
    <s v="C"/>
  </r>
  <r>
    <s v="G0100"/>
    <s v="Aquaparts  GmbH"/>
    <s v="AT"/>
    <s v="Brazed heat exchangers"/>
    <x v="2"/>
    <n v="659886"/>
    <n v="75"/>
    <n v="1143"/>
    <s v="NT45"/>
    <n v="2.2587370592012687E-3"/>
    <n v="0.97080777987981204"/>
    <s v="C"/>
  </r>
  <r>
    <s v="G0046"/>
    <s v="Nordline GmbH"/>
    <s v="DE"/>
    <s v="Electronic sensors"/>
    <x v="1"/>
    <n v="652473"/>
    <n v="87.5"/>
    <n v="616"/>
    <s v="NT60"/>
    <n v="2.2333629524315252E-3"/>
    <n v="0.97304114283224352"/>
    <s v="C"/>
  </r>
  <r>
    <s v="G0106"/>
    <s v="Veltec GmbH"/>
    <s v="AT"/>
    <s v="Plastic housings"/>
    <x v="4"/>
    <n v="651488"/>
    <n v="88.9"/>
    <n v="213"/>
    <s v="NT30"/>
    <n v="2.2299913761239308E-3"/>
    <n v="0.97527113420836742"/>
    <s v="C"/>
  </r>
  <r>
    <s v="G0025"/>
    <s v="Cerroline GmbH"/>
    <s v="DE"/>
    <s v="Plastic housings"/>
    <x v="3"/>
    <n v="649690"/>
    <n v="83.3"/>
    <n v="133"/>
    <s v="SK14"/>
    <n v="2.2238369657675301E-3"/>
    <n v="0.97749497117413497"/>
    <s v="C"/>
  </r>
  <r>
    <s v="G0119"/>
    <s v="Voltasal Sp. z o.o."/>
    <s v="PL"/>
    <s v="Electronic sensors"/>
    <x v="4"/>
    <n v="630560"/>
    <n v="100"/>
    <n v="70"/>
    <s v="NT30"/>
    <n v="2.1583565040779046E-3"/>
    <n v="0.97965332767821289"/>
    <s v="C"/>
  </r>
  <r>
    <s v="G0095"/>
    <s v="Cerrotec GmbH"/>
    <s v="DE"/>
    <s v="Brazed heat exchangers"/>
    <x v="2"/>
    <n v="623639"/>
    <n v="66.7"/>
    <n v="602"/>
    <s v="NT60"/>
    <n v="2.1346664740019036E-3"/>
    <n v="0.98178799415221485"/>
    <s v="C"/>
  </r>
  <r>
    <s v="G0018"/>
    <s v="Voltaflex GmbH"/>
    <s v="DE"/>
    <s v="Packaging"/>
    <x v="3"/>
    <n v="543136"/>
    <n v="80"/>
    <n v="0"/>
    <s v="NT45"/>
    <n v="1.8591111364483265E-3"/>
    <n v="0.98364710528866317"/>
    <s v="C"/>
  </r>
  <r>
    <s v="G0064"/>
    <s v="Deltacast GmbH"/>
    <s v="DE"/>
    <s v="Valves"/>
    <x v="3"/>
    <n v="535293"/>
    <n v="71.400000000000006"/>
    <n v="93"/>
    <s v="NT30"/>
    <n v="1.8322651740316127E-3"/>
    <n v="0.98547937046269474"/>
    <s v="C"/>
  </r>
  <r>
    <s v="G0104"/>
    <s v="VELAFORM GMBH"/>
    <s v="DE"/>
    <s v="Rubber seals"/>
    <x v="1"/>
    <n v="507867"/>
    <n v="90.9"/>
    <n v="5338"/>
    <s v="NT30"/>
    <n v="1.7383881671157908E-3"/>
    <n v="0.98721775862981054"/>
    <s v="C"/>
  </r>
  <r>
    <s v="G0105"/>
    <s v="Silbercast  GmbH"/>
    <s v="DE"/>
    <s v="Valves"/>
    <x v="4"/>
    <n v="426144"/>
    <n v="100"/>
    <n v="0"/>
    <s v="NT45"/>
    <n v="1.4586568670289497E-3"/>
    <n v="0.98867641549683949"/>
    <s v="C"/>
  </r>
  <r>
    <s v="G0005"/>
    <s v="Lumenflex SAS"/>
    <s v="FR"/>
    <s v="Valves"/>
    <x v="3"/>
    <n v="420399"/>
    <n v="83.3"/>
    <n v="68"/>
    <s v="SK14"/>
    <n v="1.4389921910014066E-3"/>
    <n v="0.9901154076878409"/>
    <s v="C"/>
  </r>
  <r>
    <s v="G0040"/>
    <s v="Nordguss SAS"/>
    <s v="FR"/>
    <s v="Electronic sensors"/>
    <x v="4"/>
    <n v="415296"/>
    <n v="100"/>
    <n v="217"/>
    <s v="NT45"/>
    <n v="1.421525029683991E-3"/>
    <n v="0.99153693271752485"/>
    <s v="C"/>
  </r>
  <r>
    <s v="G0096"/>
    <s v="Boraetal Sp. z o.o."/>
    <s v="PL"/>
    <s v="Hoses &amp; connectors"/>
    <x v="4"/>
    <n v="408703"/>
    <n v="100"/>
    <n v="0"/>
    <s v="SK14"/>
    <n v="1.3989577174038186E-3"/>
    <n v="0.99293589043492869"/>
    <s v="C"/>
  </r>
  <r>
    <s v="G0055"/>
    <s v="Atlasform s.r.o."/>
    <s v="CZ"/>
    <s v="Brazed heat exchangers"/>
    <x v="3"/>
    <n v="402479"/>
    <n v="75"/>
    <n v="0"/>
    <s v="NT60"/>
    <n v="1.3776534626439528E-3"/>
    <n v="0.99431354389757265"/>
    <s v="C"/>
  </r>
  <r>
    <s v="G0007"/>
    <s v="Orbiscast s.r.o."/>
    <s v="CZ"/>
    <s v="Rubber seals"/>
    <x v="2"/>
    <n v="390726"/>
    <n v="66.7"/>
    <n v="725"/>
    <s v="NT60"/>
    <n v="1.3374238826001385E-3"/>
    <n v="0.99565096778017281"/>
    <s v="C"/>
  </r>
  <r>
    <s v="G0108"/>
    <s v="Rheinmeal s.r.o."/>
    <s v="CZ"/>
    <s v="Brazed heat exchangers"/>
    <x v="4"/>
    <n v="387605"/>
    <n v="87.5"/>
    <n v="0"/>
    <s v="NT30"/>
    <n v="1.3267409489392224E-3"/>
    <n v="0.99697770872911207"/>
    <s v="C"/>
  </r>
  <r>
    <s v="G0112"/>
    <s v="Boracast GmbH"/>
    <s v="DE"/>
    <s v="Hoses &amp; connectors"/>
    <x v="4"/>
    <n v="322426"/>
    <n v="100"/>
    <n v="128"/>
    <s v="SK14"/>
    <n v="1.1036384391395306E-3"/>
    <n v="0.99808134716825159"/>
    <s v="C"/>
  </r>
  <r>
    <s v="G0054"/>
    <s v="Terratronic GmbH"/>
    <s v="AT"/>
    <s v="Brazed heat exchangers"/>
    <x v="3"/>
    <n v="288832"/>
    <n v="37.5"/>
    <n v="500"/>
    <s v="NT45"/>
    <n v="9.8864886098996027E-4"/>
    <n v="0.99906999602924151"/>
    <s v="C"/>
  </r>
  <r>
    <s v="G0075"/>
    <s v="Silberguss GmbH"/>
    <s v="DE"/>
    <s v="Valves"/>
    <x v="4"/>
    <n v="271699"/>
    <n v="100"/>
    <n v="192"/>
    <s v="NT30"/>
    <n v="9.3000397075847273E-4"/>
    <n v="1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90305-32B3-764B-9989-EC94EC235F0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F7" firstHeaderRow="0" firstDataRow="1" firstDataCol="1"/>
  <pivotFields count="12"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dataField="1" numFmtId="3" showAll="0"/>
    <pivotField numFmtId="164" showAll="0"/>
    <pivotField numFmtId="3" showAll="0"/>
    <pivotField showAll="0"/>
    <pivotField numFmtId="9" showAll="0"/>
    <pivotField numFmtId="9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 (EUR)" fld="5" baseField="0" baseItem="0" numFmtId="3"/>
    <dataField name="Sum of Spend (EUR)2" fld="5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end" displayName="tblSpend" ref="A1:O121">
  <autoFilter ref="A1:O121" xr:uid="{00000000-0009-0000-0100-000001000000}"/>
  <sortState xmlns:xlrd2="http://schemas.microsoft.com/office/spreadsheetml/2017/richdata2" ref="A2:I121">
    <sortCondition descending="1" ref="F1:F121"/>
  </sortState>
  <tableColumns count="15">
    <tableColumn id="1" xr3:uid="{00000000-0010-0000-0000-000001000000}" name="Golden ID"/>
    <tableColumn id="2" xr3:uid="{00000000-0010-0000-0000-000002000000}" name="Supplier"/>
    <tableColumn id="3" xr3:uid="{00000000-0010-0000-0000-000003000000}" name="Country"/>
    <tableColumn id="4" xr3:uid="{00000000-0010-0000-0000-000004000000}" name="Commodity"/>
    <tableColumn id="5" xr3:uid="{00000000-0010-0000-0000-000005000000}" name="Segment (M2)"/>
    <tableColumn id="6" xr3:uid="{00000000-0010-0000-0000-000006000000}" name="Spend (EUR)"/>
    <tableColumn id="7" xr3:uid="{00000000-0010-0000-0000-000007000000}" name="OTD %"/>
    <tableColumn id="8" xr3:uid="{00000000-0010-0000-0000-000008000000}" name="PPM"/>
    <tableColumn id="9" xr3:uid="{00000000-0010-0000-0000-000009000000}" name="Payment term"/>
    <tableColumn id="10" xr3:uid="{5D1E5103-053F-9149-A678-5C4D8626A5EA}" name="Spend share" dataCellStyle="Percent">
      <calculatedColumnFormula>F2/SUM($F$2:$F$121)</calculatedColumnFormula>
    </tableColumn>
    <tableColumn id="11" xr3:uid="{B3C0593A-4800-A24E-858E-2C3789403277}" name="Cumulative share" dataDxfId="4">
      <calculatedColumnFormula>SUM($J$2:J2)</calculatedColumnFormula>
    </tableColumn>
    <tableColumn id="12" xr3:uid="{DFA46FC0-C59B-9B4C-8696-052595BBF44D}" name="ABC class" dataDxfId="3">
      <calculatedColumnFormula>IF(K2&lt;=80%,"A",IF(K2&lt;=95%,"B","C"))</calculatedColumnFormula>
    </tableColumn>
    <tableColumn id="13" xr3:uid="{A6793419-9AA1-3242-B71C-8AD377F8F478}" name="Net days" dataDxfId="2">
      <calculatedColumnFormula>_xlfn.XLOOKUP(I2,Terms!A:A,Terms!C:C,"")</calculatedColumnFormula>
    </tableColumn>
    <tableColumn id="14" xr3:uid="{0BFB64A9-2F55-0641-BBF7-61A0DC5F3A72}" name="Cash effect (EUR)" dataDxfId="1">
      <calculatedColumnFormula>IF(M2="",0,MAX(0,Settings!$B$5-M2)*F2/Settings!$B$4)</calculatedColumnFormula>
    </tableColumn>
    <tableColumn id="15" xr3:uid="{416A67A6-A46F-5A41-A253-2FCCBF2A67A5}" name="Discount (EUR)" dataDxfId="0">
      <calculatedColumnFormula>F2*_xlfn.XLOOKUP(I2,Terms!A:A,Terms!D:D,0)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pane xSplit="2" ySplit="1" topLeftCell="D2" activePane="bottomRight" state="frozen"/>
      <selection pane="topRight"/>
      <selection pane="bottomLeft"/>
      <selection pane="bottomRight" activeCell="O2" sqref="O2"/>
    </sheetView>
  </sheetViews>
  <sheetFormatPr baseColWidth="10" defaultColWidth="8.83203125" defaultRowHeight="15" x14ac:dyDescent="0.2"/>
  <cols>
    <col min="1" max="1" width="12.5" customWidth="1"/>
    <col min="2" max="2" width="26" customWidth="1"/>
    <col min="3" max="3" width="13" customWidth="1"/>
    <col min="4" max="4" width="22" customWidth="1"/>
    <col min="5" max="5" width="32" customWidth="1"/>
    <col min="6" max="6" width="14" customWidth="1"/>
    <col min="7" max="8" width="8" customWidth="1"/>
    <col min="9" max="9" width="16.1640625" customWidth="1"/>
    <col min="10" max="10" width="15" style="7" customWidth="1"/>
    <col min="11" max="11" width="18.6640625" customWidth="1"/>
    <col min="12" max="12" width="13.6640625" customWidth="1"/>
    <col min="13" max="13" width="15.5" customWidth="1"/>
    <col min="14" max="14" width="21.1640625" customWidth="1"/>
    <col min="15" max="15" width="20.83203125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294</v>
      </c>
      <c r="K1" t="s">
        <v>295</v>
      </c>
      <c r="L1" t="s">
        <v>296</v>
      </c>
      <c r="M1" t="s">
        <v>276</v>
      </c>
      <c r="N1" t="s">
        <v>307</v>
      </c>
      <c r="O1" t="s">
        <v>308</v>
      </c>
    </row>
    <row r="2" spans="1:15" x14ac:dyDescent="0.2">
      <c r="A2" t="s">
        <v>228</v>
      </c>
      <c r="B2" t="s">
        <v>229</v>
      </c>
      <c r="C2" t="s">
        <v>63</v>
      </c>
      <c r="D2" t="s">
        <v>53</v>
      </c>
      <c r="E2" t="s">
        <v>44</v>
      </c>
      <c r="F2" s="2">
        <v>8729465</v>
      </c>
      <c r="G2" s="3">
        <v>87</v>
      </c>
      <c r="H2" s="2">
        <v>117</v>
      </c>
      <c r="I2" t="s">
        <v>20</v>
      </c>
      <c r="J2" s="7">
        <f t="shared" ref="J2:J33" si="0">F2/SUM($F$2:$F$121)</f>
        <v>2.9880261291344874E-2</v>
      </c>
      <c r="K2" s="4">
        <f>SUM($J$2:J2)</f>
        <v>2.9880261291344874E-2</v>
      </c>
      <c r="L2" t="str">
        <f t="shared" ref="L2:L33" si="1">IF(K2&lt;=80%,"A",IF(K2&lt;=95%,"B","C"))</f>
        <v>A</v>
      </c>
      <c r="M2">
        <f>_xlfn.XLOOKUP(I2,Terms!A:A,Terms!C:C,"")</f>
        <v>60</v>
      </c>
      <c r="N2">
        <f>IF(M2="",0,MAX(0,Settings!$B$5-M2)*F2/Settings!$B$4)</f>
        <v>0</v>
      </c>
      <c r="O2" s="11">
        <f>F2*_xlfn.XLOOKUP(I2,Terms!A:A,Terms!D:D,0)</f>
        <v>0</v>
      </c>
    </row>
    <row r="3" spans="1:15" x14ac:dyDescent="0.2">
      <c r="A3" t="s">
        <v>61</v>
      </c>
      <c r="B3" t="s">
        <v>62</v>
      </c>
      <c r="C3" t="s">
        <v>63</v>
      </c>
      <c r="D3" t="s">
        <v>23</v>
      </c>
      <c r="E3" t="s">
        <v>58</v>
      </c>
      <c r="F3" s="2">
        <v>8166335</v>
      </c>
      <c r="G3" s="3">
        <v>94.9</v>
      </c>
      <c r="H3" s="2">
        <v>699</v>
      </c>
      <c r="I3" t="s">
        <v>14</v>
      </c>
      <c r="J3" s="7">
        <f t="shared" si="0"/>
        <v>2.7952712290232544E-2</v>
      </c>
      <c r="K3" s="4">
        <f>SUM($J$2:J3)</f>
        <v>5.7832973581577421E-2</v>
      </c>
      <c r="L3" t="str">
        <f t="shared" si="1"/>
        <v>A</v>
      </c>
      <c r="M3" t="str">
        <f>_xlfn.XLOOKUP(I3,Terms!A:A,Terms!C:C,"")</f>
        <v/>
      </c>
      <c r="N3">
        <f>IF(M3="",0,MAX(0,Settings!$B$5-M3)*F3/Settings!$B$4)</f>
        <v>0</v>
      </c>
      <c r="O3" s="11">
        <f>F3*_xlfn.XLOOKUP(I3,Terms!A:A,Terms!D:D,0)</f>
        <v>0</v>
      </c>
    </row>
    <row r="4" spans="1:15" x14ac:dyDescent="0.2">
      <c r="A4" t="s">
        <v>236</v>
      </c>
      <c r="B4" t="s">
        <v>237</v>
      </c>
      <c r="C4" t="s">
        <v>33</v>
      </c>
      <c r="D4" t="s">
        <v>34</v>
      </c>
      <c r="E4" t="s">
        <v>44</v>
      </c>
      <c r="F4" s="2">
        <v>7892755</v>
      </c>
      <c r="G4" s="3">
        <v>93.3</v>
      </c>
      <c r="H4" s="2">
        <v>134</v>
      </c>
      <c r="I4" t="s">
        <v>30</v>
      </c>
      <c r="J4" s="7">
        <f t="shared" si="0"/>
        <v>2.7016269806748604E-2</v>
      </c>
      <c r="K4" s="4">
        <f>SUM($J$2:J4)</f>
        <v>8.4849243388326029E-2</v>
      </c>
      <c r="L4" t="str">
        <f t="shared" si="1"/>
        <v>A</v>
      </c>
      <c r="M4">
        <f>_xlfn.XLOOKUP(I4,Terms!A:A,Terms!C:C,"")</f>
        <v>30</v>
      </c>
      <c r="N4">
        <f>IF(M4="",0,MAX(0,Settings!$B$5-M4)*F4/Settings!$B$4)</f>
        <v>928559.4117647059</v>
      </c>
      <c r="O4" s="11">
        <f>F4*_xlfn.XLOOKUP(I4,Terms!A:A,Terms!D:D,0)</f>
        <v>0</v>
      </c>
    </row>
    <row r="5" spans="1:15" x14ac:dyDescent="0.2">
      <c r="A5" t="s">
        <v>136</v>
      </c>
      <c r="B5" t="s">
        <v>137</v>
      </c>
      <c r="C5" t="s">
        <v>11</v>
      </c>
      <c r="D5" t="s">
        <v>53</v>
      </c>
      <c r="E5" t="s">
        <v>58</v>
      </c>
      <c r="F5" s="2">
        <v>7297508</v>
      </c>
      <c r="G5" s="3">
        <v>85.1</v>
      </c>
      <c r="H5" s="2">
        <v>789</v>
      </c>
      <c r="I5" t="s">
        <v>20</v>
      </c>
      <c r="J5" s="7">
        <f t="shared" si="0"/>
        <v>2.4978786880488043E-2</v>
      </c>
      <c r="K5" s="4">
        <f>SUM($J$2:J5)</f>
        <v>0.10982803026881408</v>
      </c>
      <c r="L5" t="str">
        <f t="shared" si="1"/>
        <v>A</v>
      </c>
      <c r="M5">
        <f>_xlfn.XLOOKUP(I5,Terms!A:A,Terms!C:C,"")</f>
        <v>60</v>
      </c>
      <c r="N5">
        <f>IF(M5="",0,MAX(0,Settings!$B$5-M5)*F5/Settings!$B$4)</f>
        <v>0</v>
      </c>
      <c r="O5" s="11">
        <f>F5*_xlfn.XLOOKUP(I5,Terms!A:A,Terms!D:D,0)</f>
        <v>0</v>
      </c>
    </row>
    <row r="6" spans="1:15" x14ac:dyDescent="0.2">
      <c r="A6" t="s">
        <v>51</v>
      </c>
      <c r="B6" t="s">
        <v>52</v>
      </c>
      <c r="C6" t="s">
        <v>17</v>
      </c>
      <c r="D6" t="s">
        <v>53</v>
      </c>
      <c r="E6" t="s">
        <v>44</v>
      </c>
      <c r="F6" s="2">
        <v>7016505</v>
      </c>
      <c r="G6" s="3">
        <v>96.3</v>
      </c>
      <c r="H6" s="2">
        <v>102</v>
      </c>
      <c r="I6" t="s">
        <v>45</v>
      </c>
      <c r="J6" s="7">
        <f t="shared" si="0"/>
        <v>2.4016936061033268E-2</v>
      </c>
      <c r="K6" s="4">
        <f>SUM($J$2:J6)</f>
        <v>0.13384496632984735</v>
      </c>
      <c r="L6" t="str">
        <f t="shared" si="1"/>
        <v>A</v>
      </c>
      <c r="M6">
        <f>_xlfn.XLOOKUP(I6,Terms!A:A,Terms!C:C,"")</f>
        <v>45</v>
      </c>
      <c r="N6">
        <f>IF(M6="",0,MAX(0,Settings!$B$5-M6)*F6/Settings!$B$4)</f>
        <v>412735.5882352941</v>
      </c>
      <c r="O6" s="11">
        <f>F6*_xlfn.XLOOKUP(I6,Terms!A:A,Terms!D:D,0)</f>
        <v>0</v>
      </c>
    </row>
    <row r="7" spans="1:15" x14ac:dyDescent="0.2">
      <c r="A7" t="s">
        <v>198</v>
      </c>
      <c r="B7" t="s">
        <v>199</v>
      </c>
      <c r="C7" t="s">
        <v>11</v>
      </c>
      <c r="D7" t="s">
        <v>23</v>
      </c>
      <c r="E7" t="s">
        <v>44</v>
      </c>
      <c r="F7" s="2">
        <v>6591040</v>
      </c>
      <c r="G7" s="3">
        <v>92.4</v>
      </c>
      <c r="H7" s="2">
        <v>117</v>
      </c>
      <c r="I7" t="s">
        <v>30</v>
      </c>
      <c r="J7" s="7">
        <f t="shared" si="0"/>
        <v>2.2560603356758486E-2</v>
      </c>
      <c r="K7" s="4">
        <f>SUM($J$2:J7)</f>
        <v>0.15640556968660585</v>
      </c>
      <c r="L7" t="str">
        <f t="shared" si="1"/>
        <v>A</v>
      </c>
      <c r="M7">
        <f>_xlfn.XLOOKUP(I7,Terms!A:A,Terms!C:C,"")</f>
        <v>30</v>
      </c>
      <c r="N7">
        <f>IF(M7="",0,MAX(0,Settings!$B$5-M7)*F7/Settings!$B$4)</f>
        <v>775416.4705882353</v>
      </c>
      <c r="O7" s="11">
        <f>F7*_xlfn.XLOOKUP(I7,Terms!A:A,Terms!D:D,0)</f>
        <v>0</v>
      </c>
    </row>
    <row r="8" spans="1:15" x14ac:dyDescent="0.2">
      <c r="A8" t="s">
        <v>238</v>
      </c>
      <c r="B8" t="s">
        <v>239</v>
      </c>
      <c r="C8" t="s">
        <v>11</v>
      </c>
      <c r="D8" t="s">
        <v>39</v>
      </c>
      <c r="E8" t="s">
        <v>44</v>
      </c>
      <c r="F8" s="2">
        <v>6508860</v>
      </c>
      <c r="G8" s="3">
        <v>88.2</v>
      </c>
      <c r="H8" s="2">
        <v>60</v>
      </c>
      <c r="I8" t="s">
        <v>25</v>
      </c>
      <c r="J8" s="7">
        <f t="shared" si="0"/>
        <v>2.2279307782181727E-2</v>
      </c>
      <c r="K8" s="4">
        <f>SUM($J$2:J8)</f>
        <v>0.17868487746878758</v>
      </c>
      <c r="L8" t="str">
        <f t="shared" si="1"/>
        <v>A</v>
      </c>
      <c r="M8">
        <f>_xlfn.XLOOKUP(I8,Terms!A:A,Terms!C:C,"")</f>
        <v>30</v>
      </c>
      <c r="N8">
        <f>IF(M8="",0,MAX(0,Settings!$B$5-M8)*F8/Settings!$B$4)</f>
        <v>765748.23529411759</v>
      </c>
      <c r="O8" s="11">
        <f>F8*_xlfn.XLOOKUP(I8,Terms!A:A,Terms!D:D,0)</f>
        <v>130177.2</v>
      </c>
    </row>
    <row r="9" spans="1:15" x14ac:dyDescent="0.2">
      <c r="A9" t="s">
        <v>120</v>
      </c>
      <c r="B9" t="s">
        <v>121</v>
      </c>
      <c r="C9" t="s">
        <v>11</v>
      </c>
      <c r="D9" t="s">
        <v>29</v>
      </c>
      <c r="E9" t="s">
        <v>19</v>
      </c>
      <c r="F9" s="2">
        <v>6491982</v>
      </c>
      <c r="G9" s="3">
        <v>58.8</v>
      </c>
      <c r="H9" s="2">
        <v>911</v>
      </c>
      <c r="I9" t="s">
        <v>20</v>
      </c>
      <c r="J9" s="7">
        <f t="shared" si="0"/>
        <v>2.2221535736578094E-2</v>
      </c>
      <c r="K9" s="4">
        <f>SUM($J$2:J9)</f>
        <v>0.20090641320536567</v>
      </c>
      <c r="L9" t="str">
        <f t="shared" si="1"/>
        <v>A</v>
      </c>
      <c r="M9">
        <f>_xlfn.XLOOKUP(I9,Terms!A:A,Terms!C:C,"")</f>
        <v>60</v>
      </c>
      <c r="N9">
        <f>IF(M9="",0,MAX(0,Settings!$B$5-M9)*F9/Settings!$B$4)</f>
        <v>0</v>
      </c>
      <c r="O9" s="11">
        <f>F9*_xlfn.XLOOKUP(I9,Terms!A:A,Terms!D:D,0)</f>
        <v>0</v>
      </c>
    </row>
    <row r="10" spans="1:15" x14ac:dyDescent="0.2">
      <c r="A10" t="s">
        <v>158</v>
      </c>
      <c r="B10" t="s">
        <v>159</v>
      </c>
      <c r="C10" t="s">
        <v>75</v>
      </c>
      <c r="D10" t="s">
        <v>34</v>
      </c>
      <c r="E10" t="s">
        <v>19</v>
      </c>
      <c r="F10" s="2">
        <v>6425100</v>
      </c>
      <c r="G10" s="3">
        <v>79.3</v>
      </c>
      <c r="H10" s="2">
        <v>5265</v>
      </c>
      <c r="I10" t="s">
        <v>45</v>
      </c>
      <c r="J10" s="7">
        <f t="shared" si="0"/>
        <v>2.1992603993832377E-2</v>
      </c>
      <c r="K10" s="4">
        <f>SUM($J$2:J10)</f>
        <v>0.22289901719919805</v>
      </c>
      <c r="L10" t="str">
        <f t="shared" si="1"/>
        <v>A</v>
      </c>
      <c r="M10">
        <f>_xlfn.XLOOKUP(I10,Terms!A:A,Terms!C:C,"")</f>
        <v>45</v>
      </c>
      <c r="N10">
        <f>IF(M10="",0,MAX(0,Settings!$B$5-M10)*F10/Settings!$B$4)</f>
        <v>377947.0588235294</v>
      </c>
      <c r="O10" s="11">
        <f>F10*_xlfn.XLOOKUP(I10,Terms!A:A,Terms!D:D,0)</f>
        <v>0</v>
      </c>
    </row>
    <row r="11" spans="1:15" x14ac:dyDescent="0.2">
      <c r="A11" t="s">
        <v>220</v>
      </c>
      <c r="B11" t="s">
        <v>221</v>
      </c>
      <c r="C11" t="s">
        <v>11</v>
      </c>
      <c r="D11" t="s">
        <v>23</v>
      </c>
      <c r="E11" t="s">
        <v>44</v>
      </c>
      <c r="F11" s="2">
        <v>6072516</v>
      </c>
      <c r="G11" s="3">
        <v>96.5</v>
      </c>
      <c r="H11" s="2">
        <v>104</v>
      </c>
      <c r="I11" t="s">
        <v>20</v>
      </c>
      <c r="J11" s="7">
        <f t="shared" si="0"/>
        <v>2.07857371300386E-2</v>
      </c>
      <c r="K11" s="4">
        <f>SUM($J$2:J11)</f>
        <v>0.24368475432923664</v>
      </c>
      <c r="L11" t="str">
        <f t="shared" si="1"/>
        <v>A</v>
      </c>
      <c r="M11">
        <f>_xlfn.XLOOKUP(I11,Terms!A:A,Terms!C:C,"")</f>
        <v>60</v>
      </c>
      <c r="N11">
        <f>IF(M11="",0,MAX(0,Settings!$B$5-M11)*F11/Settings!$B$4)</f>
        <v>0</v>
      </c>
      <c r="O11" s="11">
        <f>F11*_xlfn.XLOOKUP(I11,Terms!A:A,Terms!D:D,0)</f>
        <v>0</v>
      </c>
    </row>
    <row r="12" spans="1:15" x14ac:dyDescent="0.2">
      <c r="A12" t="s">
        <v>186</v>
      </c>
      <c r="B12" t="s">
        <v>187</v>
      </c>
      <c r="C12" t="s">
        <v>11</v>
      </c>
      <c r="D12" t="s">
        <v>18</v>
      </c>
      <c r="E12" t="s">
        <v>19</v>
      </c>
      <c r="F12" s="2">
        <v>5969282</v>
      </c>
      <c r="G12" s="3">
        <v>64.099999999999994</v>
      </c>
      <c r="H12" s="2">
        <v>916</v>
      </c>
      <c r="I12" t="s">
        <v>45</v>
      </c>
      <c r="J12" s="7">
        <f t="shared" si="0"/>
        <v>2.0432375395482049E-2</v>
      </c>
      <c r="K12" s="4">
        <f>SUM($J$2:J12)</f>
        <v>0.26411712972471868</v>
      </c>
      <c r="L12" t="str">
        <f t="shared" si="1"/>
        <v>A</v>
      </c>
      <c r="M12">
        <f>_xlfn.XLOOKUP(I12,Terms!A:A,Terms!C:C,"")</f>
        <v>45</v>
      </c>
      <c r="N12">
        <f>IF(M12="",0,MAX(0,Settings!$B$5-M12)*F12/Settings!$B$4)</f>
        <v>351134.23529411765</v>
      </c>
      <c r="O12" s="11">
        <f>F12*_xlfn.XLOOKUP(I12,Terms!A:A,Terms!D:D,0)</f>
        <v>0</v>
      </c>
    </row>
    <row r="13" spans="1:15" x14ac:dyDescent="0.2">
      <c r="A13" t="s">
        <v>266</v>
      </c>
      <c r="B13" t="s">
        <v>267</v>
      </c>
      <c r="C13" t="s">
        <v>75</v>
      </c>
      <c r="D13" t="s">
        <v>12</v>
      </c>
      <c r="E13" t="s">
        <v>24</v>
      </c>
      <c r="F13" s="2">
        <v>5915328</v>
      </c>
      <c r="G13" s="3">
        <v>51.6</v>
      </c>
      <c r="H13" s="2">
        <v>114</v>
      </c>
      <c r="I13" t="s">
        <v>20</v>
      </c>
      <c r="J13" s="7">
        <f t="shared" si="0"/>
        <v>2.0247695163908497E-2</v>
      </c>
      <c r="K13" s="4">
        <f>SUM($J$2:J13)</f>
        <v>0.28436482488862719</v>
      </c>
      <c r="L13" t="str">
        <f t="shared" si="1"/>
        <v>A</v>
      </c>
      <c r="M13">
        <f>_xlfn.XLOOKUP(I13,Terms!A:A,Terms!C:C,"")</f>
        <v>60</v>
      </c>
      <c r="N13">
        <f>IF(M13="",0,MAX(0,Settings!$B$5-M13)*F13/Settings!$B$4)</f>
        <v>0</v>
      </c>
      <c r="O13" s="11">
        <f>F13*_xlfn.XLOOKUP(I13,Terms!A:A,Terms!D:D,0)</f>
        <v>0</v>
      </c>
    </row>
    <row r="14" spans="1:15" x14ac:dyDescent="0.2">
      <c r="A14" t="s">
        <v>206</v>
      </c>
      <c r="B14" t="s">
        <v>207</v>
      </c>
      <c r="C14" t="s">
        <v>28</v>
      </c>
      <c r="D14" t="s">
        <v>34</v>
      </c>
      <c r="E14" t="s">
        <v>44</v>
      </c>
      <c r="F14" s="2">
        <v>5803633</v>
      </c>
      <c r="G14" s="3">
        <v>88.9</v>
      </c>
      <c r="H14" s="2">
        <v>50</v>
      </c>
      <c r="I14" t="s">
        <v>25</v>
      </c>
      <c r="J14" s="7">
        <f t="shared" si="0"/>
        <v>1.9865372102307727E-2</v>
      </c>
      <c r="K14" s="4">
        <f>SUM($J$2:J14)</f>
        <v>0.3042301969909349</v>
      </c>
      <c r="L14" t="str">
        <f t="shared" si="1"/>
        <v>A</v>
      </c>
      <c r="M14">
        <f>_xlfn.XLOOKUP(I14,Terms!A:A,Terms!C:C,"")</f>
        <v>30</v>
      </c>
      <c r="N14">
        <f>IF(M14="",0,MAX(0,Settings!$B$5-M14)*F14/Settings!$B$4)</f>
        <v>682780.3529411765</v>
      </c>
      <c r="O14" s="11">
        <f>F14*_xlfn.XLOOKUP(I14,Terms!A:A,Terms!D:D,0)</f>
        <v>116072.66</v>
      </c>
    </row>
    <row r="15" spans="1:15" x14ac:dyDescent="0.2">
      <c r="A15" t="s">
        <v>180</v>
      </c>
      <c r="B15" t="s">
        <v>181</v>
      </c>
      <c r="C15" t="s">
        <v>33</v>
      </c>
      <c r="D15" t="s">
        <v>48</v>
      </c>
      <c r="E15" t="s">
        <v>58</v>
      </c>
      <c r="F15" s="2">
        <v>5528859</v>
      </c>
      <c r="G15" s="3">
        <v>90.4</v>
      </c>
      <c r="H15" s="2">
        <v>806</v>
      </c>
      <c r="I15" t="s">
        <v>30</v>
      </c>
      <c r="J15" s="7">
        <f t="shared" si="0"/>
        <v>1.8924842652213364E-2</v>
      </c>
      <c r="K15" s="4">
        <f>SUM($J$2:J15)</f>
        <v>0.32315503964314829</v>
      </c>
      <c r="L15" t="str">
        <f t="shared" si="1"/>
        <v>A</v>
      </c>
      <c r="M15">
        <f>_xlfn.XLOOKUP(I15,Terms!A:A,Terms!C:C,"")</f>
        <v>30</v>
      </c>
      <c r="N15">
        <f>IF(M15="",0,MAX(0,Settings!$B$5-M15)*F15/Settings!$B$4)</f>
        <v>650454</v>
      </c>
      <c r="O15" s="11">
        <f>F15*_xlfn.XLOOKUP(I15,Terms!A:A,Terms!D:D,0)</f>
        <v>0</v>
      </c>
    </row>
    <row r="16" spans="1:15" x14ac:dyDescent="0.2">
      <c r="A16" t="s">
        <v>260</v>
      </c>
      <c r="B16" t="s">
        <v>261</v>
      </c>
      <c r="C16" t="s">
        <v>11</v>
      </c>
      <c r="D16" t="s">
        <v>53</v>
      </c>
      <c r="E16" t="s">
        <v>24</v>
      </c>
      <c r="F16" s="2">
        <v>4891366</v>
      </c>
      <c r="G16" s="3">
        <v>83.1</v>
      </c>
      <c r="H16" s="2">
        <v>140</v>
      </c>
      <c r="I16" t="s">
        <v>20</v>
      </c>
      <c r="J16" s="7">
        <f t="shared" si="0"/>
        <v>1.6742755043018146E-2</v>
      </c>
      <c r="K16" s="4">
        <f>SUM($J$2:J16)</f>
        <v>0.33989779468616643</v>
      </c>
      <c r="L16" t="str">
        <f t="shared" si="1"/>
        <v>A</v>
      </c>
      <c r="M16">
        <f>_xlfn.XLOOKUP(I16,Terms!A:A,Terms!C:C,"")</f>
        <v>60</v>
      </c>
      <c r="N16">
        <f>IF(M16="",0,MAX(0,Settings!$B$5-M16)*F16/Settings!$B$4)</f>
        <v>0</v>
      </c>
      <c r="O16" s="11">
        <f>F16*_xlfn.XLOOKUP(I16,Terms!A:A,Terms!D:D,0)</f>
        <v>0</v>
      </c>
    </row>
    <row r="17" spans="1:15" x14ac:dyDescent="0.2">
      <c r="A17" t="s">
        <v>172</v>
      </c>
      <c r="B17" t="s">
        <v>173</v>
      </c>
      <c r="C17" t="s">
        <v>11</v>
      </c>
      <c r="D17" t="s">
        <v>23</v>
      </c>
      <c r="E17" t="s">
        <v>24</v>
      </c>
      <c r="F17" s="2">
        <v>4886318</v>
      </c>
      <c r="G17" s="3">
        <v>67.900000000000006</v>
      </c>
      <c r="H17" s="2">
        <v>173</v>
      </c>
      <c r="I17" t="s">
        <v>30</v>
      </c>
      <c r="J17" s="7">
        <f t="shared" si="0"/>
        <v>1.6725476142306739E-2</v>
      </c>
      <c r="K17" s="4">
        <f>SUM($J$2:J17)</f>
        <v>0.35662327082847317</v>
      </c>
      <c r="L17" t="str">
        <f t="shared" si="1"/>
        <v>A</v>
      </c>
      <c r="M17">
        <f>_xlfn.XLOOKUP(I17,Terms!A:A,Terms!C:C,"")</f>
        <v>30</v>
      </c>
      <c r="N17">
        <f>IF(M17="",0,MAX(0,Settings!$B$5-M17)*F17/Settings!$B$4)</f>
        <v>574860.9411764706</v>
      </c>
      <c r="O17" s="11">
        <f>F17*_xlfn.XLOOKUP(I17,Terms!A:A,Terms!D:D,0)</f>
        <v>0</v>
      </c>
    </row>
    <row r="18" spans="1:15" x14ac:dyDescent="0.2">
      <c r="A18" t="s">
        <v>76</v>
      </c>
      <c r="B18" t="s">
        <v>77</v>
      </c>
      <c r="C18" t="s">
        <v>63</v>
      </c>
      <c r="D18" t="s">
        <v>53</v>
      </c>
      <c r="E18" t="s">
        <v>44</v>
      </c>
      <c r="F18" s="2">
        <v>4635149</v>
      </c>
      <c r="G18" s="3">
        <v>91.8</v>
      </c>
      <c r="H18" s="2">
        <v>24</v>
      </c>
      <c r="I18" t="s">
        <v>20</v>
      </c>
      <c r="J18" s="7">
        <f t="shared" si="0"/>
        <v>1.586574472139082E-2</v>
      </c>
      <c r="K18" s="4">
        <f>SUM($J$2:J18)</f>
        <v>0.37248901554986397</v>
      </c>
      <c r="L18" t="str">
        <f t="shared" si="1"/>
        <v>A</v>
      </c>
      <c r="M18">
        <f>_xlfn.XLOOKUP(I18,Terms!A:A,Terms!C:C,"")</f>
        <v>60</v>
      </c>
      <c r="N18">
        <f>IF(M18="",0,MAX(0,Settings!$B$5-M18)*F18/Settings!$B$4)</f>
        <v>0</v>
      </c>
      <c r="O18" s="11">
        <f>F18*_xlfn.XLOOKUP(I18,Terms!A:A,Terms!D:D,0)</f>
        <v>0</v>
      </c>
    </row>
    <row r="19" spans="1:15" x14ac:dyDescent="0.2">
      <c r="A19" t="s">
        <v>42</v>
      </c>
      <c r="B19" t="s">
        <v>43</v>
      </c>
      <c r="C19" t="s">
        <v>11</v>
      </c>
      <c r="D19" t="s">
        <v>39</v>
      </c>
      <c r="E19" t="s">
        <v>44</v>
      </c>
      <c r="F19" s="2">
        <v>4527145</v>
      </c>
      <c r="G19" s="3">
        <v>96.6</v>
      </c>
      <c r="H19" s="2">
        <v>75</v>
      </c>
      <c r="I19" t="s">
        <v>45</v>
      </c>
      <c r="J19" s="7">
        <f t="shared" si="0"/>
        <v>1.5496055657913227E-2</v>
      </c>
      <c r="K19" s="4">
        <f>SUM($J$2:J19)</f>
        <v>0.3879850712077772</v>
      </c>
      <c r="L19" t="str">
        <f t="shared" si="1"/>
        <v>A</v>
      </c>
      <c r="M19">
        <f>_xlfn.XLOOKUP(I19,Terms!A:A,Terms!C:C,"")</f>
        <v>45</v>
      </c>
      <c r="N19">
        <f>IF(M19="",0,MAX(0,Settings!$B$5-M19)*F19/Settings!$B$4)</f>
        <v>266302.64705882355</v>
      </c>
      <c r="O19" s="11">
        <f>F19*_xlfn.XLOOKUP(I19,Terms!A:A,Terms!D:D,0)</f>
        <v>0</v>
      </c>
    </row>
    <row r="20" spans="1:15" x14ac:dyDescent="0.2">
      <c r="A20" t="s">
        <v>128</v>
      </c>
      <c r="B20" t="s">
        <v>129</v>
      </c>
      <c r="C20" t="s">
        <v>11</v>
      </c>
      <c r="D20" t="s">
        <v>12</v>
      </c>
      <c r="E20" t="s">
        <v>58</v>
      </c>
      <c r="F20" s="2">
        <v>4516419</v>
      </c>
      <c r="G20" s="3">
        <v>94.1</v>
      </c>
      <c r="H20" s="2">
        <v>747</v>
      </c>
      <c r="I20" t="s">
        <v>45</v>
      </c>
      <c r="J20" s="7">
        <f t="shared" si="0"/>
        <v>1.5459341416821594E-2</v>
      </c>
      <c r="K20" s="4">
        <f>SUM($J$2:J20)</f>
        <v>0.40344441262459879</v>
      </c>
      <c r="L20" t="str">
        <f t="shared" si="1"/>
        <v>A</v>
      </c>
      <c r="M20">
        <f>_xlfn.XLOOKUP(I20,Terms!A:A,Terms!C:C,"")</f>
        <v>45</v>
      </c>
      <c r="N20">
        <f>IF(M20="",0,MAX(0,Settings!$B$5-M20)*F20/Settings!$B$4)</f>
        <v>265671.70588235295</v>
      </c>
      <c r="O20" s="11">
        <f>F20*_xlfn.XLOOKUP(I20,Terms!A:A,Terms!D:D,0)</f>
        <v>0</v>
      </c>
    </row>
    <row r="21" spans="1:15" x14ac:dyDescent="0.2">
      <c r="A21" t="s">
        <v>148</v>
      </c>
      <c r="B21" t="s">
        <v>149</v>
      </c>
      <c r="C21" t="s">
        <v>11</v>
      </c>
      <c r="D21" t="s">
        <v>48</v>
      </c>
      <c r="E21" t="s">
        <v>19</v>
      </c>
      <c r="F21" s="2">
        <v>4112508</v>
      </c>
      <c r="G21" s="3">
        <v>41.7</v>
      </c>
      <c r="H21" s="2">
        <v>980</v>
      </c>
      <c r="I21" t="s">
        <v>20</v>
      </c>
      <c r="J21" s="7">
        <f t="shared" si="0"/>
        <v>1.407678633258122E-2</v>
      </c>
      <c r="K21" s="4">
        <f>SUM($J$2:J21)</f>
        <v>0.41752119895717998</v>
      </c>
      <c r="L21" t="str">
        <f t="shared" si="1"/>
        <v>A</v>
      </c>
      <c r="M21">
        <f>_xlfn.XLOOKUP(I21,Terms!A:A,Terms!C:C,"")</f>
        <v>60</v>
      </c>
      <c r="N21">
        <f>IF(M21="",0,MAX(0,Settings!$B$5-M21)*F21/Settings!$B$4)</f>
        <v>0</v>
      </c>
      <c r="O21" s="11">
        <f>F21*_xlfn.XLOOKUP(I21,Terms!A:A,Terms!D:D,0)</f>
        <v>0</v>
      </c>
    </row>
    <row r="22" spans="1:15" x14ac:dyDescent="0.2">
      <c r="A22" t="s">
        <v>192</v>
      </c>
      <c r="B22" t="s">
        <v>193</v>
      </c>
      <c r="C22" t="s">
        <v>28</v>
      </c>
      <c r="D22" t="s">
        <v>12</v>
      </c>
      <c r="E22" t="s">
        <v>19</v>
      </c>
      <c r="F22" s="2">
        <v>4009816</v>
      </c>
      <c r="G22" s="3">
        <v>73.8</v>
      </c>
      <c r="H22" s="2">
        <v>893</v>
      </c>
      <c r="I22" t="s">
        <v>20</v>
      </c>
      <c r="J22" s="7">
        <f t="shared" si="0"/>
        <v>1.3725279820723874E-2</v>
      </c>
      <c r="K22" s="4">
        <f>SUM($J$2:J22)</f>
        <v>0.43124647877790384</v>
      </c>
      <c r="L22" t="str">
        <f t="shared" si="1"/>
        <v>A</v>
      </c>
      <c r="M22">
        <f>_xlfn.XLOOKUP(I22,Terms!A:A,Terms!C:C,"")</f>
        <v>60</v>
      </c>
      <c r="N22">
        <f>IF(M22="",0,MAX(0,Settings!$B$5-M22)*F22/Settings!$B$4)</f>
        <v>0</v>
      </c>
      <c r="O22" s="11">
        <f>F22*_xlfn.XLOOKUP(I22,Terms!A:A,Terms!D:D,0)</f>
        <v>0</v>
      </c>
    </row>
    <row r="23" spans="1:15" x14ac:dyDescent="0.2">
      <c r="A23" t="s">
        <v>196</v>
      </c>
      <c r="B23" t="s">
        <v>197</v>
      </c>
      <c r="C23" t="s">
        <v>28</v>
      </c>
      <c r="D23" t="s">
        <v>53</v>
      </c>
      <c r="E23" t="s">
        <v>24</v>
      </c>
      <c r="F23" s="2">
        <v>3901204</v>
      </c>
      <c r="G23" s="3">
        <v>70</v>
      </c>
      <c r="H23" s="2">
        <v>146</v>
      </c>
      <c r="I23" t="s">
        <v>20</v>
      </c>
      <c r="J23" s="7">
        <f t="shared" si="0"/>
        <v>1.3353509621819869E-2</v>
      </c>
      <c r="K23" s="4">
        <f>SUM($J$2:J23)</f>
        <v>0.4445999883997237</v>
      </c>
      <c r="L23" t="str">
        <f t="shared" si="1"/>
        <v>A</v>
      </c>
      <c r="M23">
        <f>_xlfn.XLOOKUP(I23,Terms!A:A,Terms!C:C,"")</f>
        <v>60</v>
      </c>
      <c r="N23">
        <f>IF(M23="",0,MAX(0,Settings!$B$5-M23)*F23/Settings!$B$4)</f>
        <v>0</v>
      </c>
      <c r="O23" s="11">
        <f>F23*_xlfn.XLOOKUP(I23,Terms!A:A,Terms!D:D,0)</f>
        <v>0</v>
      </c>
    </row>
    <row r="24" spans="1:15" x14ac:dyDescent="0.2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s="2">
        <v>3850896</v>
      </c>
      <c r="G24" s="3">
        <v>77.099999999999994</v>
      </c>
      <c r="H24" s="2">
        <v>902</v>
      </c>
      <c r="I24" t="s">
        <v>20</v>
      </c>
      <c r="J24" s="7">
        <f t="shared" si="0"/>
        <v>1.318130935696458E-2</v>
      </c>
      <c r="K24" s="4">
        <f>SUM($J$2:J24)</f>
        <v>0.4577812977566883</v>
      </c>
      <c r="L24" t="str">
        <f t="shared" si="1"/>
        <v>A</v>
      </c>
      <c r="M24">
        <f>_xlfn.XLOOKUP(I24,Terms!A:A,Terms!C:C,"")</f>
        <v>60</v>
      </c>
      <c r="N24">
        <f>IF(M24="",0,MAX(0,Settings!$B$5-M24)*F24/Settings!$B$4)</f>
        <v>0</v>
      </c>
      <c r="O24" s="11">
        <f>F24*_xlfn.XLOOKUP(I24,Terms!A:A,Terms!D:D,0)</f>
        <v>0</v>
      </c>
    </row>
    <row r="25" spans="1:15" x14ac:dyDescent="0.2">
      <c r="A25" t="s">
        <v>234</v>
      </c>
      <c r="B25" t="s">
        <v>235</v>
      </c>
      <c r="C25" t="s">
        <v>33</v>
      </c>
      <c r="D25" t="s">
        <v>53</v>
      </c>
      <c r="E25" t="s">
        <v>24</v>
      </c>
      <c r="F25" s="2">
        <v>3790329</v>
      </c>
      <c r="G25" s="3">
        <v>58.8</v>
      </c>
      <c r="H25" s="2">
        <v>164</v>
      </c>
      <c r="I25" t="s">
        <v>30</v>
      </c>
      <c r="J25" s="7">
        <f t="shared" si="0"/>
        <v>1.297399335470867E-2</v>
      </c>
      <c r="K25" s="4">
        <f>SUM($J$2:J25)</f>
        <v>0.47075529111139697</v>
      </c>
      <c r="L25" t="str">
        <f t="shared" si="1"/>
        <v>A</v>
      </c>
      <c r="M25">
        <f>_xlfn.XLOOKUP(I25,Terms!A:A,Terms!C:C,"")</f>
        <v>30</v>
      </c>
      <c r="N25">
        <f>IF(M25="",0,MAX(0,Settings!$B$5-M25)*F25/Settings!$B$4)</f>
        <v>445921.0588235294</v>
      </c>
      <c r="O25" s="11">
        <f>F25*_xlfn.XLOOKUP(I25,Terms!A:A,Terms!D:D,0)</f>
        <v>0</v>
      </c>
    </row>
    <row r="26" spans="1:15" x14ac:dyDescent="0.2">
      <c r="A26" t="s">
        <v>268</v>
      </c>
      <c r="B26" t="s">
        <v>269</v>
      </c>
      <c r="C26" t="s">
        <v>28</v>
      </c>
      <c r="D26" t="s">
        <v>34</v>
      </c>
      <c r="E26" t="s">
        <v>44</v>
      </c>
      <c r="F26" s="2">
        <v>3669523</v>
      </c>
      <c r="G26" s="3">
        <v>95.9</v>
      </c>
      <c r="H26" s="2">
        <v>90</v>
      </c>
      <c r="I26" t="s">
        <v>30</v>
      </c>
      <c r="J26" s="7">
        <f t="shared" si="0"/>
        <v>1.2560484067992679E-2</v>
      </c>
      <c r="K26" s="4">
        <f>SUM($J$2:J26)</f>
        <v>0.48331577517938967</v>
      </c>
      <c r="L26" t="str">
        <f t="shared" si="1"/>
        <v>A</v>
      </c>
      <c r="M26">
        <f>_xlfn.XLOOKUP(I26,Terms!A:A,Terms!C:C,"")</f>
        <v>30</v>
      </c>
      <c r="N26">
        <f>IF(M26="",0,MAX(0,Settings!$B$5-M26)*F26/Settings!$B$4)</f>
        <v>431708.5882352941</v>
      </c>
      <c r="O26" s="11">
        <f>F26*_xlfn.XLOOKUP(I26,Terms!A:A,Terms!D:D,0)</f>
        <v>0</v>
      </c>
    </row>
    <row r="27" spans="1:15" x14ac:dyDescent="0.2">
      <c r="A27" t="s">
        <v>190</v>
      </c>
      <c r="B27" t="s">
        <v>191</v>
      </c>
      <c r="C27" t="s">
        <v>11</v>
      </c>
      <c r="D27" t="s">
        <v>29</v>
      </c>
      <c r="E27" t="s">
        <v>44</v>
      </c>
      <c r="F27" s="2">
        <v>3559963</v>
      </c>
      <c r="G27" s="3">
        <v>90</v>
      </c>
      <c r="H27" s="2">
        <v>87</v>
      </c>
      <c r="I27" t="s">
        <v>30</v>
      </c>
      <c r="J27" s="7">
        <f t="shared" si="0"/>
        <v>1.2185468940825122E-2</v>
      </c>
      <c r="K27" s="4">
        <f>SUM($J$2:J27)</f>
        <v>0.49550124412021479</v>
      </c>
      <c r="L27" t="str">
        <f t="shared" si="1"/>
        <v>A</v>
      </c>
      <c r="M27">
        <f>_xlfn.XLOOKUP(I27,Terms!A:A,Terms!C:C,"")</f>
        <v>30</v>
      </c>
      <c r="N27">
        <f>IF(M27="",0,MAX(0,Settings!$B$5-M27)*F27/Settings!$B$4)</f>
        <v>418819.17647058825</v>
      </c>
      <c r="O27" s="11">
        <f>F27*_xlfn.XLOOKUP(I27,Terms!A:A,Terms!D:D,0)</f>
        <v>0</v>
      </c>
    </row>
    <row r="28" spans="1:15" x14ac:dyDescent="0.2">
      <c r="A28" t="s">
        <v>80</v>
      </c>
      <c r="B28" t="s">
        <v>81</v>
      </c>
      <c r="C28" t="s">
        <v>75</v>
      </c>
      <c r="D28" t="s">
        <v>53</v>
      </c>
      <c r="E28" t="s">
        <v>19</v>
      </c>
      <c r="F28" s="2">
        <v>3489820</v>
      </c>
      <c r="G28" s="3">
        <v>82.1</v>
      </c>
      <c r="H28" s="2">
        <v>743</v>
      </c>
      <c r="I28" t="s">
        <v>25</v>
      </c>
      <c r="J28" s="7">
        <f t="shared" si="0"/>
        <v>1.1945375055603199E-2</v>
      </c>
      <c r="K28" s="4">
        <f>SUM($J$2:J28)</f>
        <v>0.50744661917581801</v>
      </c>
      <c r="L28" t="str">
        <f t="shared" si="1"/>
        <v>A</v>
      </c>
      <c r="M28">
        <f>_xlfn.XLOOKUP(I28,Terms!A:A,Terms!C:C,"")</f>
        <v>30</v>
      </c>
      <c r="N28">
        <f>IF(M28="",0,MAX(0,Settings!$B$5-M28)*F28/Settings!$B$4)</f>
        <v>410567.0588235294</v>
      </c>
      <c r="O28" s="11">
        <f>F28*_xlfn.XLOOKUP(I28,Terms!A:A,Terms!D:D,0)</f>
        <v>69796.399999999994</v>
      </c>
    </row>
    <row r="29" spans="1:15" x14ac:dyDescent="0.2">
      <c r="A29" t="s">
        <v>96</v>
      </c>
      <c r="B29" t="s">
        <v>97</v>
      </c>
      <c r="C29" t="s">
        <v>11</v>
      </c>
      <c r="D29" t="s">
        <v>23</v>
      </c>
      <c r="E29" t="s">
        <v>58</v>
      </c>
      <c r="F29" s="2">
        <v>3460790</v>
      </c>
      <c r="G29" s="3">
        <v>94.9</v>
      </c>
      <c r="H29" s="2">
        <v>797</v>
      </c>
      <c r="I29" t="s">
        <v>45</v>
      </c>
      <c r="J29" s="7">
        <f t="shared" si="0"/>
        <v>1.1846007684832167E-2</v>
      </c>
      <c r="K29" s="4">
        <f>SUM($J$2:J29)</f>
        <v>0.51929262686065014</v>
      </c>
      <c r="L29" t="str">
        <f t="shared" si="1"/>
        <v>A</v>
      </c>
      <c r="M29">
        <f>_xlfn.XLOOKUP(I29,Terms!A:A,Terms!C:C,"")</f>
        <v>45</v>
      </c>
      <c r="N29">
        <f>IF(M29="",0,MAX(0,Settings!$B$5-M29)*F29/Settings!$B$4)</f>
        <v>203575.88235294117</v>
      </c>
      <c r="O29" s="11">
        <f>F29*_xlfn.XLOOKUP(I29,Terms!A:A,Terms!D:D,0)</f>
        <v>0</v>
      </c>
    </row>
    <row r="30" spans="1:15" x14ac:dyDescent="0.2">
      <c r="A30" t="s">
        <v>202</v>
      </c>
      <c r="B30" t="s">
        <v>203</v>
      </c>
      <c r="C30" t="s">
        <v>11</v>
      </c>
      <c r="D30" t="s">
        <v>12</v>
      </c>
      <c r="E30" t="s">
        <v>58</v>
      </c>
      <c r="F30" s="2">
        <v>3429954</v>
      </c>
      <c r="G30" s="3">
        <v>86.5</v>
      </c>
      <c r="H30" s="2">
        <v>5270</v>
      </c>
      <c r="I30" t="s">
        <v>25</v>
      </c>
      <c r="J30" s="7">
        <f t="shared" si="0"/>
        <v>1.1740458520343861E-2</v>
      </c>
      <c r="K30" s="4">
        <f>SUM($J$2:J30)</f>
        <v>0.53103308538099403</v>
      </c>
      <c r="L30" t="str">
        <f t="shared" si="1"/>
        <v>A</v>
      </c>
      <c r="M30">
        <f>_xlfn.XLOOKUP(I30,Terms!A:A,Terms!C:C,"")</f>
        <v>30</v>
      </c>
      <c r="N30">
        <f>IF(M30="",0,MAX(0,Settings!$B$5-M30)*F30/Settings!$B$4)</f>
        <v>403524</v>
      </c>
      <c r="O30" s="11">
        <f>F30*_xlfn.XLOOKUP(I30,Terms!A:A,Terms!D:D,0)</f>
        <v>68599.08</v>
      </c>
    </row>
    <row r="31" spans="1:15" x14ac:dyDescent="0.2">
      <c r="A31" t="s">
        <v>108</v>
      </c>
      <c r="B31" t="s">
        <v>109</v>
      </c>
      <c r="C31" t="s">
        <v>11</v>
      </c>
      <c r="D31" t="s">
        <v>18</v>
      </c>
      <c r="E31" t="s">
        <v>19</v>
      </c>
      <c r="F31" s="2">
        <v>3295628</v>
      </c>
      <c r="G31" s="3">
        <v>65.5</v>
      </c>
      <c r="H31" s="2">
        <v>943</v>
      </c>
      <c r="I31" t="s">
        <v>20</v>
      </c>
      <c r="J31" s="7">
        <f t="shared" si="0"/>
        <v>1.128067135375104E-2</v>
      </c>
      <c r="K31" s="4">
        <f>SUM($J$2:J31)</f>
        <v>0.54231375673474502</v>
      </c>
      <c r="L31" t="str">
        <f t="shared" si="1"/>
        <v>A</v>
      </c>
      <c r="M31">
        <f>_xlfn.XLOOKUP(I31,Terms!A:A,Terms!C:C,"")</f>
        <v>60</v>
      </c>
      <c r="N31">
        <f>IF(M31="",0,MAX(0,Settings!$B$5-M31)*F31/Settings!$B$4)</f>
        <v>0</v>
      </c>
      <c r="O31" s="11">
        <f>F31*_xlfn.XLOOKUP(I31,Terms!A:A,Terms!D:D,0)</f>
        <v>0</v>
      </c>
    </row>
    <row r="32" spans="1:15" x14ac:dyDescent="0.2">
      <c r="A32" t="s">
        <v>106</v>
      </c>
      <c r="B32" t="s">
        <v>107</v>
      </c>
      <c r="C32" t="s">
        <v>11</v>
      </c>
      <c r="D32" t="s">
        <v>18</v>
      </c>
      <c r="E32" t="s">
        <v>19</v>
      </c>
      <c r="F32" s="2">
        <v>3104710</v>
      </c>
      <c r="G32" s="3">
        <v>72.5</v>
      </c>
      <c r="H32" s="2">
        <v>748</v>
      </c>
      <c r="I32" t="s">
        <v>30</v>
      </c>
      <c r="J32" s="7">
        <f t="shared" si="0"/>
        <v>1.0627174292336512E-2</v>
      </c>
      <c r="K32" s="4">
        <f>SUM($J$2:J32)</f>
        <v>0.55294093102708153</v>
      </c>
      <c r="L32" t="str">
        <f t="shared" si="1"/>
        <v>A</v>
      </c>
      <c r="M32">
        <f>_xlfn.XLOOKUP(I32,Terms!A:A,Terms!C:C,"")</f>
        <v>30</v>
      </c>
      <c r="N32">
        <f>IF(M32="",0,MAX(0,Settings!$B$5-M32)*F32/Settings!$B$4)</f>
        <v>365260</v>
      </c>
      <c r="O32" s="11">
        <f>F32*_xlfn.XLOOKUP(I32,Terms!A:A,Terms!D:D,0)</f>
        <v>0</v>
      </c>
    </row>
    <row r="33" spans="1:15" x14ac:dyDescent="0.2">
      <c r="A33" t="s">
        <v>204</v>
      </c>
      <c r="B33" t="s">
        <v>205</v>
      </c>
      <c r="C33" t="s">
        <v>33</v>
      </c>
      <c r="D33" t="s">
        <v>39</v>
      </c>
      <c r="E33" t="s">
        <v>44</v>
      </c>
      <c r="F33" s="2">
        <v>3090622</v>
      </c>
      <c r="G33" s="3">
        <v>94.1</v>
      </c>
      <c r="H33" s="2">
        <v>133</v>
      </c>
      <c r="I33" t="s">
        <v>25</v>
      </c>
      <c r="J33" s="7">
        <f t="shared" si="0"/>
        <v>1.0578952193837638E-2</v>
      </c>
      <c r="K33" s="4">
        <f>SUM($J$2:J33)</f>
        <v>0.56351988322091917</v>
      </c>
      <c r="L33" t="str">
        <f t="shared" si="1"/>
        <v>A</v>
      </c>
      <c r="M33">
        <f>_xlfn.XLOOKUP(I33,Terms!A:A,Terms!C:C,"")</f>
        <v>30</v>
      </c>
      <c r="N33">
        <f>IF(M33="",0,MAX(0,Settings!$B$5-M33)*F33/Settings!$B$4)</f>
        <v>363602.5882352941</v>
      </c>
      <c r="O33" s="11">
        <f>F33*_xlfn.XLOOKUP(I33,Terms!A:A,Terms!D:D,0)</f>
        <v>61812.44</v>
      </c>
    </row>
    <row r="34" spans="1:15" x14ac:dyDescent="0.2">
      <c r="A34" t="s">
        <v>88</v>
      </c>
      <c r="B34" t="s">
        <v>89</v>
      </c>
      <c r="C34" t="s">
        <v>11</v>
      </c>
      <c r="D34" t="s">
        <v>39</v>
      </c>
      <c r="E34" t="s">
        <v>58</v>
      </c>
      <c r="F34" s="2">
        <v>3030493</v>
      </c>
      <c r="G34" s="3">
        <v>91.9</v>
      </c>
      <c r="H34" s="2">
        <v>835</v>
      </c>
      <c r="I34" t="s">
        <v>25</v>
      </c>
      <c r="J34" s="7">
        <f t="shared" ref="J34:J65" si="2">F34/SUM($F$2:$F$121)</f>
        <v>1.0373135430589573E-2</v>
      </c>
      <c r="K34" s="4">
        <f>SUM($J$2:J34)</f>
        <v>0.57389301865150877</v>
      </c>
      <c r="L34" t="str">
        <f t="shared" ref="L34:L65" si="3">IF(K34&lt;=80%,"A",IF(K34&lt;=95%,"B","C"))</f>
        <v>A</v>
      </c>
      <c r="M34">
        <f>_xlfn.XLOOKUP(I34,Terms!A:A,Terms!C:C,"")</f>
        <v>30</v>
      </c>
      <c r="N34">
        <f>IF(M34="",0,MAX(0,Settings!$B$5-M34)*F34/Settings!$B$4)</f>
        <v>356528.5882352941</v>
      </c>
      <c r="O34" s="11">
        <f>F34*_xlfn.XLOOKUP(I34,Terms!A:A,Terms!D:D,0)</f>
        <v>60609.86</v>
      </c>
    </row>
    <row r="35" spans="1:15" x14ac:dyDescent="0.2">
      <c r="A35" t="s">
        <v>59</v>
      </c>
      <c r="B35" t="s">
        <v>60</v>
      </c>
      <c r="C35" t="s">
        <v>28</v>
      </c>
      <c r="D35" t="s">
        <v>23</v>
      </c>
      <c r="E35" t="s">
        <v>19</v>
      </c>
      <c r="F35" s="2">
        <v>2959201</v>
      </c>
      <c r="G35" s="3">
        <v>54.3</v>
      </c>
      <c r="H35" s="2">
        <v>670</v>
      </c>
      <c r="I35" t="s">
        <v>25</v>
      </c>
      <c r="J35" s="7">
        <f t="shared" si="2"/>
        <v>1.0129108610162139E-2</v>
      </c>
      <c r="K35" s="4">
        <f>SUM($J$2:J35)</f>
        <v>0.58402212726167091</v>
      </c>
      <c r="L35" t="str">
        <f t="shared" si="3"/>
        <v>A</v>
      </c>
      <c r="M35">
        <f>_xlfn.XLOOKUP(I35,Terms!A:A,Terms!C:C,"")</f>
        <v>30</v>
      </c>
      <c r="N35">
        <f>IF(M35="",0,MAX(0,Settings!$B$5-M35)*F35/Settings!$B$4)</f>
        <v>348141.29411764705</v>
      </c>
      <c r="O35" s="11">
        <f>F35*_xlfn.XLOOKUP(I35,Terms!A:A,Terms!D:D,0)</f>
        <v>59184.020000000004</v>
      </c>
    </row>
    <row r="36" spans="1:15" x14ac:dyDescent="0.2">
      <c r="A36" t="s">
        <v>35</v>
      </c>
      <c r="B36" t="s">
        <v>36</v>
      </c>
      <c r="C36" t="s">
        <v>11</v>
      </c>
      <c r="D36" t="s">
        <v>34</v>
      </c>
      <c r="E36" t="s">
        <v>24</v>
      </c>
      <c r="F36" s="2">
        <v>2943032</v>
      </c>
      <c r="G36" s="3">
        <v>75</v>
      </c>
      <c r="H36" s="2">
        <v>85</v>
      </c>
      <c r="I36" t="s">
        <v>20</v>
      </c>
      <c r="J36" s="7">
        <f t="shared" si="2"/>
        <v>1.0073763414915953E-2</v>
      </c>
      <c r="K36" s="4">
        <f>SUM($J$2:J36)</f>
        <v>0.59409589067658686</v>
      </c>
      <c r="L36" t="str">
        <f t="shared" si="3"/>
        <v>A</v>
      </c>
      <c r="M36">
        <f>_xlfn.XLOOKUP(I36,Terms!A:A,Terms!C:C,"")</f>
        <v>60</v>
      </c>
      <c r="N36">
        <f>IF(M36="",0,MAX(0,Settings!$B$5-M36)*F36/Settings!$B$4)</f>
        <v>0</v>
      </c>
      <c r="O36" s="11">
        <f>F36*_xlfn.XLOOKUP(I36,Terms!A:A,Terms!D:D,0)</f>
        <v>0</v>
      </c>
    </row>
    <row r="37" spans="1:15" x14ac:dyDescent="0.2">
      <c r="A37" t="s">
        <v>214</v>
      </c>
      <c r="B37" t="s">
        <v>215</v>
      </c>
      <c r="C37" t="s">
        <v>17</v>
      </c>
      <c r="D37" t="s">
        <v>39</v>
      </c>
      <c r="E37" t="s">
        <v>24</v>
      </c>
      <c r="F37" s="2">
        <v>2923417</v>
      </c>
      <c r="G37" s="3">
        <v>42.5</v>
      </c>
      <c r="H37" s="2">
        <v>127</v>
      </c>
      <c r="I37" t="s">
        <v>25</v>
      </c>
      <c r="J37" s="7">
        <f t="shared" si="2"/>
        <v>1.000662283697335E-2</v>
      </c>
      <c r="K37" s="4">
        <f>SUM($J$2:J37)</f>
        <v>0.60410251351356026</v>
      </c>
      <c r="L37" t="str">
        <f t="shared" si="3"/>
        <v>A</v>
      </c>
      <c r="M37">
        <f>_xlfn.XLOOKUP(I37,Terms!A:A,Terms!C:C,"")</f>
        <v>30</v>
      </c>
      <c r="N37">
        <f>IF(M37="",0,MAX(0,Settings!$B$5-M37)*F37/Settings!$B$4)</f>
        <v>343931.4117647059</v>
      </c>
      <c r="O37" s="11">
        <f>F37*_xlfn.XLOOKUP(I37,Terms!A:A,Terms!D:D,0)</f>
        <v>58468.340000000004</v>
      </c>
    </row>
    <row r="38" spans="1:15" x14ac:dyDescent="0.2">
      <c r="A38" t="s">
        <v>26</v>
      </c>
      <c r="B38" t="s">
        <v>27</v>
      </c>
      <c r="C38" t="s">
        <v>28</v>
      </c>
      <c r="D38" t="s">
        <v>29</v>
      </c>
      <c r="E38" t="s">
        <v>19</v>
      </c>
      <c r="F38" s="2">
        <v>2882552</v>
      </c>
      <c r="G38" s="3">
        <v>81.8</v>
      </c>
      <c r="H38" s="2">
        <v>869</v>
      </c>
      <c r="I38" t="s">
        <v>30</v>
      </c>
      <c r="J38" s="7">
        <f t="shared" si="2"/>
        <v>9.8667452067095467E-3</v>
      </c>
      <c r="K38" s="4">
        <f>SUM($J$2:J38)</f>
        <v>0.61396925872026975</v>
      </c>
      <c r="L38" t="str">
        <f t="shared" si="3"/>
        <v>A</v>
      </c>
      <c r="M38">
        <f>_xlfn.XLOOKUP(I38,Terms!A:A,Terms!C:C,"")</f>
        <v>30</v>
      </c>
      <c r="N38">
        <f>IF(M38="",0,MAX(0,Settings!$B$5-M38)*F38/Settings!$B$4)</f>
        <v>339123.76470588235</v>
      </c>
      <c r="O38" s="11">
        <f>F38*_xlfn.XLOOKUP(I38,Terms!A:A,Terms!D:D,0)</f>
        <v>0</v>
      </c>
    </row>
    <row r="39" spans="1:15" x14ac:dyDescent="0.2">
      <c r="A39" t="s">
        <v>78</v>
      </c>
      <c r="B39" t="s">
        <v>79</v>
      </c>
      <c r="C39" t="s">
        <v>75</v>
      </c>
      <c r="D39" t="s">
        <v>70</v>
      </c>
      <c r="E39" t="s">
        <v>19</v>
      </c>
      <c r="F39" s="2">
        <v>2871672</v>
      </c>
      <c r="G39" s="3">
        <v>76.5</v>
      </c>
      <c r="H39" s="2">
        <v>4588</v>
      </c>
      <c r="I39" t="s">
        <v>30</v>
      </c>
      <c r="J39" s="7">
        <f t="shared" si="2"/>
        <v>9.8295038359210926E-3</v>
      </c>
      <c r="K39" s="4">
        <f>SUM($J$2:J39)</f>
        <v>0.62379876255619082</v>
      </c>
      <c r="L39" t="str">
        <f t="shared" si="3"/>
        <v>A</v>
      </c>
      <c r="M39">
        <f>_xlfn.XLOOKUP(I39,Terms!A:A,Terms!C:C,"")</f>
        <v>30</v>
      </c>
      <c r="N39">
        <f>IF(M39="",0,MAX(0,Settings!$B$5-M39)*F39/Settings!$B$4)</f>
        <v>337843.76470588235</v>
      </c>
      <c r="O39" s="11">
        <f>F39*_xlfn.XLOOKUP(I39,Terms!A:A,Terms!D:D,0)</f>
        <v>0</v>
      </c>
    </row>
    <row r="40" spans="1:15" x14ac:dyDescent="0.2">
      <c r="A40" t="s">
        <v>150</v>
      </c>
      <c r="B40" t="s">
        <v>151</v>
      </c>
      <c r="C40" t="s">
        <v>75</v>
      </c>
      <c r="D40" t="s">
        <v>18</v>
      </c>
      <c r="E40" t="s">
        <v>24</v>
      </c>
      <c r="F40" s="2">
        <v>2865400</v>
      </c>
      <c r="G40" s="3">
        <v>64.5</v>
      </c>
      <c r="H40" s="2">
        <v>19</v>
      </c>
      <c r="I40" t="s">
        <v>25</v>
      </c>
      <c r="J40" s="7">
        <f t="shared" si="2"/>
        <v>9.8080352809959831E-3</v>
      </c>
      <c r="K40" s="4">
        <f>SUM($J$2:J40)</f>
        <v>0.63360679783718676</v>
      </c>
      <c r="L40" t="str">
        <f t="shared" si="3"/>
        <v>A</v>
      </c>
      <c r="M40">
        <f>_xlfn.XLOOKUP(I40,Terms!A:A,Terms!C:C,"")</f>
        <v>30</v>
      </c>
      <c r="N40">
        <f>IF(M40="",0,MAX(0,Settings!$B$5-M40)*F40/Settings!$B$4)</f>
        <v>337105.8823529412</v>
      </c>
      <c r="O40" s="11">
        <f>F40*_xlfn.XLOOKUP(I40,Terms!A:A,Terms!D:D,0)</f>
        <v>57308</v>
      </c>
    </row>
    <row r="41" spans="1:15" x14ac:dyDescent="0.2">
      <c r="A41" t="s">
        <v>84</v>
      </c>
      <c r="B41" t="s">
        <v>85</v>
      </c>
      <c r="C41" t="s">
        <v>11</v>
      </c>
      <c r="D41" t="s">
        <v>48</v>
      </c>
      <c r="E41" t="s">
        <v>19</v>
      </c>
      <c r="F41" s="2">
        <v>2825038</v>
      </c>
      <c r="G41" s="3">
        <v>73.099999999999994</v>
      </c>
      <c r="H41" s="2">
        <v>816</v>
      </c>
      <c r="I41" t="s">
        <v>20</v>
      </c>
      <c r="J41" s="7">
        <f t="shared" si="2"/>
        <v>9.6698793795471239E-3</v>
      </c>
      <c r="K41" s="4">
        <f>SUM($J$2:J41)</f>
        <v>0.64327667721673387</v>
      </c>
      <c r="L41" t="str">
        <f t="shared" si="3"/>
        <v>A</v>
      </c>
      <c r="M41">
        <f>_xlfn.XLOOKUP(I41,Terms!A:A,Terms!C:C,"")</f>
        <v>60</v>
      </c>
      <c r="N41">
        <f>IF(M41="",0,MAX(0,Settings!$B$5-M41)*F41/Settings!$B$4)</f>
        <v>0</v>
      </c>
      <c r="O41" s="11">
        <f>F41*_xlfn.XLOOKUP(I41,Terms!A:A,Terms!D:D,0)</f>
        <v>0</v>
      </c>
    </row>
    <row r="42" spans="1:15" x14ac:dyDescent="0.2">
      <c r="A42" t="s">
        <v>132</v>
      </c>
      <c r="B42" t="s">
        <v>133</v>
      </c>
      <c r="C42" t="s">
        <v>63</v>
      </c>
      <c r="D42" t="s">
        <v>29</v>
      </c>
      <c r="E42" t="s">
        <v>44</v>
      </c>
      <c r="F42" s="2">
        <v>2697901</v>
      </c>
      <c r="G42" s="3">
        <v>96.9</v>
      </c>
      <c r="H42" s="2">
        <v>113</v>
      </c>
      <c r="I42" t="s">
        <v>30</v>
      </c>
      <c r="J42" s="7">
        <f t="shared" si="2"/>
        <v>9.2346995856195796E-3</v>
      </c>
      <c r="K42" s="4">
        <f>SUM($J$2:J42)</f>
        <v>0.65251137680235349</v>
      </c>
      <c r="L42" t="str">
        <f t="shared" si="3"/>
        <v>A</v>
      </c>
      <c r="M42">
        <f>_xlfn.XLOOKUP(I42,Terms!A:A,Terms!C:C,"")</f>
        <v>30</v>
      </c>
      <c r="N42">
        <f>IF(M42="",0,MAX(0,Settings!$B$5-M42)*F42/Settings!$B$4)</f>
        <v>317400.1176470588</v>
      </c>
      <c r="O42" s="11">
        <f>F42*_xlfn.XLOOKUP(I42,Terms!A:A,Terms!D:D,0)</f>
        <v>0</v>
      </c>
    </row>
    <row r="43" spans="1:15" x14ac:dyDescent="0.2">
      <c r="A43" t="s">
        <v>154</v>
      </c>
      <c r="B43" t="s">
        <v>155</v>
      </c>
      <c r="C43" t="s">
        <v>17</v>
      </c>
      <c r="D43" t="s">
        <v>53</v>
      </c>
      <c r="E43" t="s">
        <v>19</v>
      </c>
      <c r="F43" s="2">
        <v>2629295</v>
      </c>
      <c r="G43" s="3">
        <v>36.4</v>
      </c>
      <c r="H43" s="2">
        <v>863</v>
      </c>
      <c r="I43" t="s">
        <v>20</v>
      </c>
      <c r="J43" s="7">
        <f t="shared" si="2"/>
        <v>8.9998667286055462E-3</v>
      </c>
      <c r="K43" s="4">
        <f>SUM($J$2:J43)</f>
        <v>0.66151124353095903</v>
      </c>
      <c r="L43" t="str">
        <f t="shared" si="3"/>
        <v>A</v>
      </c>
      <c r="M43">
        <f>_xlfn.XLOOKUP(I43,Terms!A:A,Terms!C:C,"")</f>
        <v>60</v>
      </c>
      <c r="N43">
        <f>IF(M43="",0,MAX(0,Settings!$B$5-M43)*F43/Settings!$B$4)</f>
        <v>0</v>
      </c>
      <c r="O43" s="11">
        <f>F43*_xlfn.XLOOKUP(I43,Terms!A:A,Terms!D:D,0)</f>
        <v>0</v>
      </c>
    </row>
    <row r="44" spans="1:15" x14ac:dyDescent="0.2">
      <c r="A44" t="s">
        <v>92</v>
      </c>
      <c r="B44" t="s">
        <v>93</v>
      </c>
      <c r="C44" t="s">
        <v>17</v>
      </c>
      <c r="D44" t="s">
        <v>34</v>
      </c>
      <c r="E44" t="s">
        <v>44</v>
      </c>
      <c r="F44" s="2">
        <v>2483150</v>
      </c>
      <c r="G44" s="3">
        <v>90.9</v>
      </c>
      <c r="H44" s="2">
        <v>68</v>
      </c>
      <c r="I44" t="s">
        <v>20</v>
      </c>
      <c r="J44" s="7">
        <f t="shared" si="2"/>
        <v>8.4996240692417034E-3</v>
      </c>
      <c r="K44" s="4">
        <f>SUM($J$2:J44)</f>
        <v>0.67001086760020068</v>
      </c>
      <c r="L44" t="str">
        <f t="shared" si="3"/>
        <v>A</v>
      </c>
      <c r="M44">
        <f>_xlfn.XLOOKUP(I44,Terms!A:A,Terms!C:C,"")</f>
        <v>60</v>
      </c>
      <c r="N44">
        <f>IF(M44="",0,MAX(0,Settings!$B$5-M44)*F44/Settings!$B$4)</f>
        <v>0</v>
      </c>
      <c r="O44" s="11">
        <f>F44*_xlfn.XLOOKUP(I44,Terms!A:A,Terms!D:D,0)</f>
        <v>0</v>
      </c>
    </row>
    <row r="45" spans="1:15" x14ac:dyDescent="0.2">
      <c r="A45" t="s">
        <v>46</v>
      </c>
      <c r="B45" t="s">
        <v>47</v>
      </c>
      <c r="C45" t="s">
        <v>11</v>
      </c>
      <c r="D45" t="s">
        <v>48</v>
      </c>
      <c r="E45" t="s">
        <v>24</v>
      </c>
      <c r="F45" s="2">
        <v>2466796</v>
      </c>
      <c r="G45" s="3">
        <v>51.6</v>
      </c>
      <c r="H45" s="2">
        <v>68</v>
      </c>
      <c r="I45" t="s">
        <v>45</v>
      </c>
      <c r="J45" s="7">
        <f t="shared" si="2"/>
        <v>8.4436456337753079E-3</v>
      </c>
      <c r="K45" s="4">
        <f>SUM($J$2:J45)</f>
        <v>0.67845451323397599</v>
      </c>
      <c r="L45" t="str">
        <f t="shared" si="3"/>
        <v>A</v>
      </c>
      <c r="M45">
        <f>_xlfn.XLOOKUP(I45,Terms!A:A,Terms!C:C,"")</f>
        <v>45</v>
      </c>
      <c r="N45">
        <f>IF(M45="",0,MAX(0,Settings!$B$5-M45)*F45/Settings!$B$4)</f>
        <v>145105.64705882352</v>
      </c>
      <c r="O45" s="11">
        <f>F45*_xlfn.XLOOKUP(I45,Terms!A:A,Terms!D:D,0)</f>
        <v>0</v>
      </c>
    </row>
    <row r="46" spans="1:15" x14ac:dyDescent="0.2">
      <c r="A46" t="s">
        <v>102</v>
      </c>
      <c r="B46" t="s">
        <v>103</v>
      </c>
      <c r="C46" t="s">
        <v>63</v>
      </c>
      <c r="D46" t="s">
        <v>29</v>
      </c>
      <c r="E46" t="s">
        <v>58</v>
      </c>
      <c r="F46" s="2">
        <v>2435186</v>
      </c>
      <c r="G46" s="3">
        <v>96</v>
      </c>
      <c r="H46" s="2">
        <v>4612</v>
      </c>
      <c r="I46" t="s">
        <v>30</v>
      </c>
      <c r="J46" s="7">
        <f t="shared" si="2"/>
        <v>8.3354471291224551E-3</v>
      </c>
      <c r="K46" s="4">
        <f>SUM($J$2:J46)</f>
        <v>0.68678996036309847</v>
      </c>
      <c r="L46" t="str">
        <f t="shared" si="3"/>
        <v>A</v>
      </c>
      <c r="M46">
        <f>_xlfn.XLOOKUP(I46,Terms!A:A,Terms!C:C,"")</f>
        <v>30</v>
      </c>
      <c r="N46">
        <f>IF(M46="",0,MAX(0,Settings!$B$5-M46)*F46/Settings!$B$4)</f>
        <v>286492.4705882353</v>
      </c>
      <c r="O46" s="11">
        <f>F46*_xlfn.XLOOKUP(I46,Terms!A:A,Terms!D:D,0)</f>
        <v>0</v>
      </c>
    </row>
    <row r="47" spans="1:15" x14ac:dyDescent="0.2">
      <c r="A47" t="s">
        <v>258</v>
      </c>
      <c r="B47" t="s">
        <v>259</v>
      </c>
      <c r="C47" t="s">
        <v>11</v>
      </c>
      <c r="D47" t="s">
        <v>70</v>
      </c>
      <c r="E47" t="s">
        <v>44</v>
      </c>
      <c r="F47" s="2">
        <v>2325849</v>
      </c>
      <c r="G47" s="3">
        <v>90</v>
      </c>
      <c r="H47" s="2">
        <v>189</v>
      </c>
      <c r="I47" t="s">
        <v>45</v>
      </c>
      <c r="J47" s="7">
        <f t="shared" si="2"/>
        <v>7.9611953131392566E-3</v>
      </c>
      <c r="K47" s="4">
        <f>SUM($J$2:J47)</f>
        <v>0.69475115567623769</v>
      </c>
      <c r="L47" t="str">
        <f t="shared" si="3"/>
        <v>A</v>
      </c>
      <c r="M47">
        <f>_xlfn.XLOOKUP(I47,Terms!A:A,Terms!C:C,"")</f>
        <v>45</v>
      </c>
      <c r="N47">
        <f>IF(M47="",0,MAX(0,Settings!$B$5-M47)*F47/Settings!$B$4)</f>
        <v>136814.64705882352</v>
      </c>
      <c r="O47" s="11">
        <f>F47*_xlfn.XLOOKUP(I47,Terms!A:A,Terms!D:D,0)</f>
        <v>0</v>
      </c>
    </row>
    <row r="48" spans="1:15" x14ac:dyDescent="0.2">
      <c r="A48" t="s">
        <v>110</v>
      </c>
      <c r="B48" t="s">
        <v>111</v>
      </c>
      <c r="C48" t="s">
        <v>11</v>
      </c>
      <c r="D48" t="s">
        <v>29</v>
      </c>
      <c r="E48" t="s">
        <v>44</v>
      </c>
      <c r="F48" s="2">
        <v>2314507</v>
      </c>
      <c r="G48" s="3">
        <v>93.9</v>
      </c>
      <c r="H48" s="2">
        <v>110</v>
      </c>
      <c r="I48" t="s">
        <v>20</v>
      </c>
      <c r="J48" s="7">
        <f t="shared" si="2"/>
        <v>7.9223725532603373E-3</v>
      </c>
      <c r="K48" s="4">
        <f>SUM($J$2:J48)</f>
        <v>0.70267352822949802</v>
      </c>
      <c r="L48" t="str">
        <f t="shared" si="3"/>
        <v>A</v>
      </c>
      <c r="M48">
        <f>_xlfn.XLOOKUP(I48,Terms!A:A,Terms!C:C,"")</f>
        <v>60</v>
      </c>
      <c r="N48">
        <f>IF(M48="",0,MAX(0,Settings!$B$5-M48)*F48/Settings!$B$4)</f>
        <v>0</v>
      </c>
      <c r="O48" s="11">
        <f>F48*_xlfn.XLOOKUP(I48,Terms!A:A,Terms!D:D,0)</f>
        <v>0</v>
      </c>
    </row>
    <row r="49" spans="1:15" x14ac:dyDescent="0.2">
      <c r="A49" t="s">
        <v>134</v>
      </c>
      <c r="B49" t="s">
        <v>135</v>
      </c>
      <c r="C49" t="s">
        <v>11</v>
      </c>
      <c r="D49" t="s">
        <v>48</v>
      </c>
      <c r="E49" t="s">
        <v>24</v>
      </c>
      <c r="F49" s="2">
        <v>2304631</v>
      </c>
      <c r="G49" s="3">
        <v>71.400000000000006</v>
      </c>
      <c r="H49" s="2">
        <v>100</v>
      </c>
      <c r="I49" t="s">
        <v>14</v>
      </c>
      <c r="J49" s="7">
        <f t="shared" si="2"/>
        <v>7.8885677942615532E-3</v>
      </c>
      <c r="K49" s="4">
        <f>SUM($J$2:J49)</f>
        <v>0.71056209602375953</v>
      </c>
      <c r="L49" t="str">
        <f t="shared" si="3"/>
        <v>A</v>
      </c>
      <c r="M49" t="str">
        <f>_xlfn.XLOOKUP(I49,Terms!A:A,Terms!C:C,"")</f>
        <v/>
      </c>
      <c r="N49">
        <f>IF(M49="",0,MAX(0,Settings!$B$5-M49)*F49/Settings!$B$4)</f>
        <v>0</v>
      </c>
      <c r="O49" s="11">
        <f>F49*_xlfn.XLOOKUP(I49,Terms!A:A,Terms!D:D,0)</f>
        <v>0</v>
      </c>
    </row>
    <row r="50" spans="1:15" x14ac:dyDescent="0.2">
      <c r="A50" t="s">
        <v>94</v>
      </c>
      <c r="B50" t="s">
        <v>95</v>
      </c>
      <c r="C50" t="s">
        <v>28</v>
      </c>
      <c r="D50" t="s">
        <v>34</v>
      </c>
      <c r="E50" t="s">
        <v>44</v>
      </c>
      <c r="F50" s="2">
        <v>2255266</v>
      </c>
      <c r="G50" s="3">
        <v>85.7</v>
      </c>
      <c r="H50" s="2">
        <v>134</v>
      </c>
      <c r="I50" t="s">
        <v>20</v>
      </c>
      <c r="J50" s="7">
        <f t="shared" si="2"/>
        <v>7.7195953430692701E-3</v>
      </c>
      <c r="K50" s="4">
        <f>SUM($J$2:J50)</f>
        <v>0.71828169136682884</v>
      </c>
      <c r="L50" t="str">
        <f t="shared" si="3"/>
        <v>A</v>
      </c>
      <c r="M50">
        <f>_xlfn.XLOOKUP(I50,Terms!A:A,Terms!C:C,"")</f>
        <v>60</v>
      </c>
      <c r="N50">
        <f>IF(M50="",0,MAX(0,Settings!$B$5-M50)*F50/Settings!$B$4)</f>
        <v>0</v>
      </c>
      <c r="O50" s="11">
        <f>F50*_xlfn.XLOOKUP(I50,Terms!A:A,Terms!D:D,0)</f>
        <v>0</v>
      </c>
    </row>
    <row r="51" spans="1:15" x14ac:dyDescent="0.2">
      <c r="A51" t="s">
        <v>73</v>
      </c>
      <c r="B51" t="s">
        <v>74</v>
      </c>
      <c r="C51" t="s">
        <v>75</v>
      </c>
      <c r="D51" t="s">
        <v>53</v>
      </c>
      <c r="E51" t="s">
        <v>24</v>
      </c>
      <c r="F51" s="2">
        <v>2235309</v>
      </c>
      <c r="G51" s="3">
        <v>65</v>
      </c>
      <c r="H51" s="2">
        <v>76</v>
      </c>
      <c r="I51" t="s">
        <v>45</v>
      </c>
      <c r="J51" s="7">
        <f t="shared" si="2"/>
        <v>7.6512841264493089E-3</v>
      </c>
      <c r="K51" s="4">
        <f>SUM($J$2:J51)</f>
        <v>0.72593297549327818</v>
      </c>
      <c r="L51" t="str">
        <f t="shared" si="3"/>
        <v>A</v>
      </c>
      <c r="M51">
        <f>_xlfn.XLOOKUP(I51,Terms!A:A,Terms!C:C,"")</f>
        <v>45</v>
      </c>
      <c r="N51">
        <f>IF(M51="",0,MAX(0,Settings!$B$5-M51)*F51/Settings!$B$4)</f>
        <v>131488.76470588235</v>
      </c>
      <c r="O51" s="11">
        <f>F51*_xlfn.XLOOKUP(I51,Terms!A:A,Terms!D:D,0)</f>
        <v>0</v>
      </c>
    </row>
    <row r="52" spans="1:15" x14ac:dyDescent="0.2">
      <c r="A52" t="s">
        <v>114</v>
      </c>
      <c r="B52" t="s">
        <v>115</v>
      </c>
      <c r="C52" t="s">
        <v>75</v>
      </c>
      <c r="D52" t="s">
        <v>70</v>
      </c>
      <c r="E52" t="s">
        <v>44</v>
      </c>
      <c r="F52" s="2">
        <v>2128201</v>
      </c>
      <c r="G52" s="3">
        <v>100</v>
      </c>
      <c r="H52" s="2">
        <v>109</v>
      </c>
      <c r="I52" t="s">
        <v>30</v>
      </c>
      <c r="J52" s="7">
        <f t="shared" si="2"/>
        <v>7.2846619993895906E-3</v>
      </c>
      <c r="K52" s="4">
        <f>SUM($J$2:J52)</f>
        <v>0.73321763749266777</v>
      </c>
      <c r="L52" t="str">
        <f t="shared" si="3"/>
        <v>A</v>
      </c>
      <c r="M52">
        <f>_xlfn.XLOOKUP(I52,Terms!A:A,Terms!C:C,"")</f>
        <v>30</v>
      </c>
      <c r="N52">
        <f>IF(M52="",0,MAX(0,Settings!$B$5-M52)*F52/Settings!$B$4)</f>
        <v>250376.58823529413</v>
      </c>
      <c r="O52" s="11">
        <f>F52*_xlfn.XLOOKUP(I52,Terms!A:A,Terms!D:D,0)</f>
        <v>0</v>
      </c>
    </row>
    <row r="53" spans="1:15" x14ac:dyDescent="0.2">
      <c r="A53" t="s">
        <v>86</v>
      </c>
      <c r="B53" t="s">
        <v>87</v>
      </c>
      <c r="C53" t="s">
        <v>28</v>
      </c>
      <c r="D53" t="s">
        <v>70</v>
      </c>
      <c r="E53" t="s">
        <v>44</v>
      </c>
      <c r="F53" s="2">
        <v>2119288</v>
      </c>
      <c r="G53" s="3">
        <v>91.7</v>
      </c>
      <c r="H53" s="2">
        <v>147</v>
      </c>
      <c r="I53" t="s">
        <v>20</v>
      </c>
      <c r="J53" s="7">
        <f t="shared" si="2"/>
        <v>7.2541535124559979E-3</v>
      </c>
      <c r="K53" s="4">
        <f>SUM($J$2:J53)</f>
        <v>0.74047179100512373</v>
      </c>
      <c r="L53" t="str">
        <f t="shared" si="3"/>
        <v>A</v>
      </c>
      <c r="M53">
        <f>_xlfn.XLOOKUP(I53,Terms!A:A,Terms!C:C,"")</f>
        <v>60</v>
      </c>
      <c r="N53">
        <f>IF(M53="",0,MAX(0,Settings!$B$5-M53)*F53/Settings!$B$4)</f>
        <v>0</v>
      </c>
      <c r="O53" s="11">
        <f>F53*_xlfn.XLOOKUP(I53,Terms!A:A,Terms!D:D,0)</f>
        <v>0</v>
      </c>
    </row>
    <row r="54" spans="1:15" x14ac:dyDescent="0.2">
      <c r="A54" t="s">
        <v>250</v>
      </c>
      <c r="B54" t="s">
        <v>251</v>
      </c>
      <c r="C54" t="s">
        <v>75</v>
      </c>
      <c r="D54" t="s">
        <v>34</v>
      </c>
      <c r="E54" t="s">
        <v>19</v>
      </c>
      <c r="F54" s="2">
        <v>2096576</v>
      </c>
      <c r="G54" s="3">
        <v>72.2</v>
      </c>
      <c r="H54" s="2">
        <v>1167</v>
      </c>
      <c r="I54" t="s">
        <v>20</v>
      </c>
      <c r="J54" s="7">
        <f t="shared" si="2"/>
        <v>7.1764121509350996E-3</v>
      </c>
      <c r="K54" s="4">
        <f>SUM($J$2:J54)</f>
        <v>0.74764820315605884</v>
      </c>
      <c r="L54" t="str">
        <f t="shared" si="3"/>
        <v>A</v>
      </c>
      <c r="M54">
        <f>_xlfn.XLOOKUP(I54,Terms!A:A,Terms!C:C,"")</f>
        <v>60</v>
      </c>
      <c r="N54">
        <f>IF(M54="",0,MAX(0,Settings!$B$5-M54)*F54/Settings!$B$4)</f>
        <v>0</v>
      </c>
      <c r="O54" s="11">
        <f>F54*_xlfn.XLOOKUP(I54,Terms!A:A,Terms!D:D,0)</f>
        <v>0</v>
      </c>
    </row>
    <row r="55" spans="1:15" x14ac:dyDescent="0.2">
      <c r="A55" t="s">
        <v>226</v>
      </c>
      <c r="B55" t="s">
        <v>227</v>
      </c>
      <c r="C55" t="s">
        <v>75</v>
      </c>
      <c r="D55" t="s">
        <v>29</v>
      </c>
      <c r="E55" t="s">
        <v>44</v>
      </c>
      <c r="F55" s="2">
        <v>2078432</v>
      </c>
      <c r="G55" s="3">
        <v>94.6</v>
      </c>
      <c r="H55" s="2">
        <v>167</v>
      </c>
      <c r="I55" t="s">
        <v>30</v>
      </c>
      <c r="J55" s="7">
        <f t="shared" si="2"/>
        <v>7.1143066884731777E-3</v>
      </c>
      <c r="K55" s="4">
        <f>SUM($J$2:J55)</f>
        <v>0.75476250984453197</v>
      </c>
      <c r="L55" t="str">
        <f t="shared" si="3"/>
        <v>A</v>
      </c>
      <c r="M55">
        <f>_xlfn.XLOOKUP(I55,Terms!A:A,Terms!C:C,"")</f>
        <v>30</v>
      </c>
      <c r="N55">
        <f>IF(M55="",0,MAX(0,Settings!$B$5-M55)*F55/Settings!$B$4)</f>
        <v>244521.41176470587</v>
      </c>
      <c r="O55" s="11">
        <f>F55*_xlfn.XLOOKUP(I55,Terms!A:A,Terms!D:D,0)</f>
        <v>0</v>
      </c>
    </row>
    <row r="56" spans="1:15" x14ac:dyDescent="0.2">
      <c r="A56" t="s">
        <v>272</v>
      </c>
      <c r="B56" t="s">
        <v>273</v>
      </c>
      <c r="C56" t="s">
        <v>11</v>
      </c>
      <c r="D56" t="s">
        <v>12</v>
      </c>
      <c r="E56" t="s">
        <v>44</v>
      </c>
      <c r="F56" s="2">
        <v>2056747</v>
      </c>
      <c r="G56" s="3">
        <v>94.7</v>
      </c>
      <c r="H56" s="2">
        <v>107</v>
      </c>
      <c r="I56" t="s">
        <v>25</v>
      </c>
      <c r="J56" s="7">
        <f t="shared" si="2"/>
        <v>7.0400806659044624E-3</v>
      </c>
      <c r="K56" s="4">
        <f>SUM($J$2:J56)</f>
        <v>0.76180259051043642</v>
      </c>
      <c r="L56" t="str">
        <f t="shared" si="3"/>
        <v>A</v>
      </c>
      <c r="M56">
        <f>_xlfn.XLOOKUP(I56,Terms!A:A,Terms!C:C,"")</f>
        <v>30</v>
      </c>
      <c r="N56">
        <f>IF(M56="",0,MAX(0,Settings!$B$5-M56)*F56/Settings!$B$4)</f>
        <v>241970.23529411765</v>
      </c>
      <c r="O56" s="11">
        <f>F56*_xlfn.XLOOKUP(I56,Terms!A:A,Terms!D:D,0)</f>
        <v>41134.94</v>
      </c>
    </row>
    <row r="57" spans="1:15" x14ac:dyDescent="0.2">
      <c r="A57" t="s">
        <v>176</v>
      </c>
      <c r="B57" t="s">
        <v>177</v>
      </c>
      <c r="C57" t="s">
        <v>63</v>
      </c>
      <c r="D57" t="s">
        <v>39</v>
      </c>
      <c r="E57" t="s">
        <v>58</v>
      </c>
      <c r="F57" s="2">
        <v>2053464</v>
      </c>
      <c r="G57" s="3">
        <v>87.5</v>
      </c>
      <c r="H57" s="2">
        <v>1013</v>
      </c>
      <c r="I57" t="s">
        <v>45</v>
      </c>
      <c r="J57" s="7">
        <f t="shared" si="2"/>
        <v>7.0288432191858508E-3</v>
      </c>
      <c r="K57" s="4">
        <f>SUM($J$2:J57)</f>
        <v>0.76883143372962226</v>
      </c>
      <c r="L57" t="str">
        <f t="shared" si="3"/>
        <v>A</v>
      </c>
      <c r="M57">
        <f>_xlfn.XLOOKUP(I57,Terms!A:A,Terms!C:C,"")</f>
        <v>45</v>
      </c>
      <c r="N57">
        <f>IF(M57="",0,MAX(0,Settings!$B$5-M57)*F57/Settings!$B$4)</f>
        <v>120792</v>
      </c>
      <c r="O57" s="11">
        <f>F57*_xlfn.XLOOKUP(I57,Terms!A:A,Terms!D:D,0)</f>
        <v>0</v>
      </c>
    </row>
    <row r="58" spans="1:15" x14ac:dyDescent="0.2">
      <c r="A58" t="s">
        <v>252</v>
      </c>
      <c r="B58" t="s">
        <v>253</v>
      </c>
      <c r="C58" t="s">
        <v>33</v>
      </c>
      <c r="D58" t="s">
        <v>39</v>
      </c>
      <c r="E58" t="s">
        <v>58</v>
      </c>
      <c r="F58" s="2">
        <v>1985456</v>
      </c>
      <c r="G58" s="3">
        <v>86.7</v>
      </c>
      <c r="H58" s="2">
        <v>730</v>
      </c>
      <c r="I58" t="s">
        <v>45</v>
      </c>
      <c r="J58" s="7">
        <f t="shared" si="2"/>
        <v>6.796057268397139E-3</v>
      </c>
      <c r="K58" s="4">
        <f>SUM($J$2:J58)</f>
        <v>0.77562749099801942</v>
      </c>
      <c r="L58" t="str">
        <f t="shared" si="3"/>
        <v>A</v>
      </c>
      <c r="M58">
        <f>_xlfn.XLOOKUP(I58,Terms!A:A,Terms!C:C,"")</f>
        <v>45</v>
      </c>
      <c r="N58">
        <f>IF(M58="",0,MAX(0,Settings!$B$5-M58)*F58/Settings!$B$4)</f>
        <v>116791.5294117647</v>
      </c>
      <c r="O58" s="11">
        <f>F58*_xlfn.XLOOKUP(I58,Terms!A:A,Terms!D:D,0)</f>
        <v>0</v>
      </c>
    </row>
    <row r="59" spans="1:15" x14ac:dyDescent="0.2">
      <c r="A59" t="s">
        <v>90</v>
      </c>
      <c r="B59" t="s">
        <v>91</v>
      </c>
      <c r="C59" t="s">
        <v>11</v>
      </c>
      <c r="D59" t="s">
        <v>34</v>
      </c>
      <c r="E59" t="s">
        <v>19</v>
      </c>
      <c r="F59" s="2">
        <v>1970618</v>
      </c>
      <c r="G59" s="3">
        <v>73.7</v>
      </c>
      <c r="H59" s="2">
        <v>718</v>
      </c>
      <c r="I59" t="s">
        <v>20</v>
      </c>
      <c r="J59" s="7">
        <f t="shared" si="2"/>
        <v>6.745267979816341E-3</v>
      </c>
      <c r="K59" s="4">
        <f>SUM($J$2:J59)</f>
        <v>0.78237275897783576</v>
      </c>
      <c r="L59" t="str">
        <f t="shared" si="3"/>
        <v>A</v>
      </c>
      <c r="M59">
        <f>_xlfn.XLOOKUP(I59,Terms!A:A,Terms!C:C,"")</f>
        <v>60</v>
      </c>
      <c r="N59">
        <f>IF(M59="",0,MAX(0,Settings!$B$5-M59)*F59/Settings!$B$4)</f>
        <v>0</v>
      </c>
      <c r="O59" s="11">
        <f>F59*_xlfn.XLOOKUP(I59,Terms!A:A,Terms!D:D,0)</f>
        <v>0</v>
      </c>
    </row>
    <row r="60" spans="1:15" x14ac:dyDescent="0.2">
      <c r="A60" t="s">
        <v>54</v>
      </c>
      <c r="B60" t="s">
        <v>55</v>
      </c>
      <c r="C60" t="s">
        <v>28</v>
      </c>
      <c r="D60" t="s">
        <v>29</v>
      </c>
      <c r="E60" t="s">
        <v>19</v>
      </c>
      <c r="F60" s="2">
        <v>1919165</v>
      </c>
      <c r="G60" s="3">
        <v>72.2</v>
      </c>
      <c r="H60" s="2">
        <v>810</v>
      </c>
      <c r="I60" t="s">
        <v>30</v>
      </c>
      <c r="J60" s="7">
        <f t="shared" si="2"/>
        <v>6.56914847143598E-3</v>
      </c>
      <c r="K60" s="4">
        <f>SUM($J$2:J60)</f>
        <v>0.78894190744927173</v>
      </c>
      <c r="L60" t="str">
        <f t="shared" si="3"/>
        <v>A</v>
      </c>
      <c r="M60">
        <f>_xlfn.XLOOKUP(I60,Terms!A:A,Terms!C:C,"")</f>
        <v>30</v>
      </c>
      <c r="N60">
        <f>IF(M60="",0,MAX(0,Settings!$B$5-M60)*F60/Settings!$B$4)</f>
        <v>225784.11764705883</v>
      </c>
      <c r="O60" s="11">
        <f>F60*_xlfn.XLOOKUP(I60,Terms!A:A,Terms!D:D,0)</f>
        <v>0</v>
      </c>
    </row>
    <row r="61" spans="1:15" x14ac:dyDescent="0.2">
      <c r="A61" t="s">
        <v>164</v>
      </c>
      <c r="B61" t="s">
        <v>165</v>
      </c>
      <c r="C61" t="s">
        <v>33</v>
      </c>
      <c r="D61" t="s">
        <v>29</v>
      </c>
      <c r="E61" t="s">
        <v>44</v>
      </c>
      <c r="F61" s="2">
        <v>1917140</v>
      </c>
      <c r="G61" s="3">
        <v>88</v>
      </c>
      <c r="H61" s="2">
        <v>109</v>
      </c>
      <c r="I61" t="s">
        <v>25</v>
      </c>
      <c r="J61" s="7">
        <f t="shared" si="2"/>
        <v>6.5622170582147832E-3</v>
      </c>
      <c r="K61" s="4">
        <f>SUM($J$2:J61)</f>
        <v>0.79550412450748653</v>
      </c>
      <c r="L61" t="str">
        <f t="shared" si="3"/>
        <v>A</v>
      </c>
      <c r="M61">
        <f>_xlfn.XLOOKUP(I61,Terms!A:A,Terms!C:C,"")</f>
        <v>30</v>
      </c>
      <c r="N61">
        <f>IF(M61="",0,MAX(0,Settings!$B$5-M61)*F61/Settings!$B$4)</f>
        <v>225545.88235294117</v>
      </c>
      <c r="O61" s="11">
        <f>F61*_xlfn.XLOOKUP(I61,Terms!A:A,Terms!D:D,0)</f>
        <v>38342.800000000003</v>
      </c>
    </row>
    <row r="62" spans="1:15" x14ac:dyDescent="0.2">
      <c r="A62" t="s">
        <v>168</v>
      </c>
      <c r="B62" t="s">
        <v>169</v>
      </c>
      <c r="C62" t="s">
        <v>75</v>
      </c>
      <c r="D62" t="s">
        <v>18</v>
      </c>
      <c r="E62" t="s">
        <v>24</v>
      </c>
      <c r="F62" s="2">
        <v>1878888</v>
      </c>
      <c r="G62" s="3">
        <v>68.8</v>
      </c>
      <c r="H62" s="2">
        <v>145</v>
      </c>
      <c r="I62" t="s">
        <v>20</v>
      </c>
      <c r="J62" s="7">
        <f t="shared" si="2"/>
        <v>6.4312835181964062E-3</v>
      </c>
      <c r="K62" s="4">
        <f>SUM($J$2:J62)</f>
        <v>0.80193540802568297</v>
      </c>
      <c r="L62" t="str">
        <f t="shared" si="3"/>
        <v>B</v>
      </c>
      <c r="M62">
        <f>_xlfn.XLOOKUP(I62,Terms!A:A,Terms!C:C,"")</f>
        <v>60</v>
      </c>
      <c r="N62">
        <f>IF(M62="",0,MAX(0,Settings!$B$5-M62)*F62/Settings!$B$4)</f>
        <v>0</v>
      </c>
      <c r="O62" s="11">
        <f>F62*_xlfn.XLOOKUP(I62,Terms!A:A,Terms!D:D,0)</f>
        <v>0</v>
      </c>
    </row>
    <row r="63" spans="1:15" x14ac:dyDescent="0.2">
      <c r="A63" t="s">
        <v>100</v>
      </c>
      <c r="B63" t="s">
        <v>101</v>
      </c>
      <c r="C63" t="s">
        <v>75</v>
      </c>
      <c r="D63" t="s">
        <v>70</v>
      </c>
      <c r="E63" t="s">
        <v>13</v>
      </c>
      <c r="F63" s="2">
        <v>1870250</v>
      </c>
      <c r="G63" s="3">
        <v>100</v>
      </c>
      <c r="H63" s="2">
        <v>0</v>
      </c>
      <c r="I63" t="s">
        <v>20</v>
      </c>
      <c r="J63" s="7">
        <f t="shared" si="2"/>
        <v>6.4017163342928521E-3</v>
      </c>
      <c r="K63" s="4">
        <f>SUM($J$2:J63)</f>
        <v>0.80833712435997584</v>
      </c>
      <c r="L63" t="str">
        <f t="shared" si="3"/>
        <v>B</v>
      </c>
      <c r="M63">
        <f>_xlfn.XLOOKUP(I63,Terms!A:A,Terms!C:C,"")</f>
        <v>60</v>
      </c>
      <c r="N63">
        <f>IF(M63="",0,MAX(0,Settings!$B$5-M63)*F63/Settings!$B$4)</f>
        <v>0</v>
      </c>
      <c r="O63" s="11">
        <f>F63*_xlfn.XLOOKUP(I63,Terms!A:A,Terms!D:D,0)</f>
        <v>0</v>
      </c>
    </row>
    <row r="64" spans="1:15" x14ac:dyDescent="0.2">
      <c r="A64" t="s">
        <v>68</v>
      </c>
      <c r="B64" t="s">
        <v>69</v>
      </c>
      <c r="C64" t="s">
        <v>17</v>
      </c>
      <c r="D64" t="s">
        <v>70</v>
      </c>
      <c r="E64" t="s">
        <v>19</v>
      </c>
      <c r="F64" s="2">
        <v>1863627</v>
      </c>
      <c r="G64" s="3">
        <v>57.1</v>
      </c>
      <c r="H64" s="2">
        <v>4508</v>
      </c>
      <c r="I64" t="s">
        <v>25</v>
      </c>
      <c r="J64" s="7">
        <f t="shared" si="2"/>
        <v>6.3790463344094023E-3</v>
      </c>
      <c r="K64" s="4">
        <f>SUM($J$2:J64)</f>
        <v>0.81471617069438529</v>
      </c>
      <c r="L64" t="str">
        <f t="shared" si="3"/>
        <v>B</v>
      </c>
      <c r="M64">
        <f>_xlfn.XLOOKUP(I64,Terms!A:A,Terms!C:C,"")</f>
        <v>30</v>
      </c>
      <c r="N64">
        <f>IF(M64="",0,MAX(0,Settings!$B$5-M64)*F64/Settings!$B$4)</f>
        <v>219250.23529411765</v>
      </c>
      <c r="O64" s="11">
        <f>F64*_xlfn.XLOOKUP(I64,Terms!A:A,Terms!D:D,0)</f>
        <v>37272.54</v>
      </c>
    </row>
    <row r="65" spans="1:15" x14ac:dyDescent="0.2">
      <c r="A65" t="s">
        <v>188</v>
      </c>
      <c r="B65" t="s">
        <v>189</v>
      </c>
      <c r="C65" t="s">
        <v>17</v>
      </c>
      <c r="D65" t="s">
        <v>34</v>
      </c>
      <c r="E65" t="s">
        <v>19</v>
      </c>
      <c r="F65" s="2">
        <v>1818970</v>
      </c>
      <c r="G65" s="3">
        <v>44.4</v>
      </c>
      <c r="H65" s="2">
        <v>4723</v>
      </c>
      <c r="I65" t="s">
        <v>30</v>
      </c>
      <c r="J65" s="7">
        <f t="shared" si="2"/>
        <v>6.2261889910913883E-3</v>
      </c>
      <c r="K65" s="4">
        <f>SUM($J$2:J65)</f>
        <v>0.82094235968547669</v>
      </c>
      <c r="L65" t="str">
        <f t="shared" si="3"/>
        <v>B</v>
      </c>
      <c r="M65">
        <f>_xlfn.XLOOKUP(I65,Terms!A:A,Terms!C:C,"")</f>
        <v>30</v>
      </c>
      <c r="N65">
        <f>IF(M65="",0,MAX(0,Settings!$B$5-M65)*F65/Settings!$B$4)</f>
        <v>213996.4705882353</v>
      </c>
      <c r="O65" s="11">
        <f>F65*_xlfn.XLOOKUP(I65,Terms!A:A,Terms!D:D,0)</f>
        <v>0</v>
      </c>
    </row>
    <row r="66" spans="1:15" x14ac:dyDescent="0.2">
      <c r="A66" t="s">
        <v>216</v>
      </c>
      <c r="B66" t="s">
        <v>217</v>
      </c>
      <c r="C66" t="s">
        <v>11</v>
      </c>
      <c r="D66" t="s">
        <v>18</v>
      </c>
      <c r="E66" t="s">
        <v>24</v>
      </c>
      <c r="F66" s="2">
        <v>1780307</v>
      </c>
      <c r="G66" s="3">
        <v>79.3</v>
      </c>
      <c r="H66" s="2">
        <v>135</v>
      </c>
      <c r="I66" t="s">
        <v>25</v>
      </c>
      <c r="J66" s="7">
        <f t="shared" ref="J66:J97" si="4">F66/SUM($F$2:$F$121)</f>
        <v>6.0938486309081163E-3</v>
      </c>
      <c r="K66" s="4">
        <f>SUM($J$2:J66)</f>
        <v>0.8270362083163848</v>
      </c>
      <c r="L66" t="str">
        <f t="shared" ref="L66:L97" si="5">IF(K66&lt;=80%,"A",IF(K66&lt;=95%,"B","C"))</f>
        <v>B</v>
      </c>
      <c r="M66">
        <f>_xlfn.XLOOKUP(I66,Terms!A:A,Terms!C:C,"")</f>
        <v>30</v>
      </c>
      <c r="N66">
        <f>IF(M66="",0,MAX(0,Settings!$B$5-M66)*F66/Settings!$B$4)</f>
        <v>209447.88235294117</v>
      </c>
      <c r="O66" s="11">
        <f>F66*_xlfn.XLOOKUP(I66,Terms!A:A,Terms!D:D,0)</f>
        <v>35606.14</v>
      </c>
    </row>
    <row r="67" spans="1:15" x14ac:dyDescent="0.2">
      <c r="A67" t="s">
        <v>246</v>
      </c>
      <c r="B67" t="s">
        <v>247</v>
      </c>
      <c r="C67" t="s">
        <v>11</v>
      </c>
      <c r="D67" t="s">
        <v>23</v>
      </c>
      <c r="E67" t="s">
        <v>24</v>
      </c>
      <c r="F67" s="2">
        <v>1727420</v>
      </c>
      <c r="G67" s="3">
        <v>42.9</v>
      </c>
      <c r="H67" s="2">
        <v>165</v>
      </c>
      <c r="I67" t="s">
        <v>25</v>
      </c>
      <c r="J67" s="7">
        <f t="shared" si="4"/>
        <v>5.9128206550911151E-3</v>
      </c>
      <c r="K67" s="4">
        <f>SUM($J$2:J67)</f>
        <v>0.83294902897147594</v>
      </c>
      <c r="L67" t="str">
        <f t="shared" si="5"/>
        <v>B</v>
      </c>
      <c r="M67">
        <f>_xlfn.XLOOKUP(I67,Terms!A:A,Terms!C:C,"")</f>
        <v>30</v>
      </c>
      <c r="N67">
        <f>IF(M67="",0,MAX(0,Settings!$B$5-M67)*F67/Settings!$B$4)</f>
        <v>203225.88235294117</v>
      </c>
      <c r="O67" s="11">
        <f>F67*_xlfn.XLOOKUP(I67,Terms!A:A,Terms!D:D,0)</f>
        <v>34548.400000000001</v>
      </c>
    </row>
    <row r="68" spans="1:15" x14ac:dyDescent="0.2">
      <c r="A68" t="s">
        <v>152</v>
      </c>
      <c r="B68" t="s">
        <v>153</v>
      </c>
      <c r="C68" t="s">
        <v>75</v>
      </c>
      <c r="D68" t="s">
        <v>29</v>
      </c>
      <c r="E68" t="s">
        <v>13</v>
      </c>
      <c r="F68" s="2">
        <v>1719814</v>
      </c>
      <c r="G68" s="3">
        <v>94.1</v>
      </c>
      <c r="H68" s="2">
        <v>110</v>
      </c>
      <c r="I68" t="s">
        <v>20</v>
      </c>
      <c r="J68" s="7">
        <f t="shared" si="4"/>
        <v>5.8867859247402898E-3</v>
      </c>
      <c r="K68" s="4">
        <f>SUM($J$2:J68)</f>
        <v>0.83883581489621628</v>
      </c>
      <c r="L68" t="str">
        <f t="shared" si="5"/>
        <v>B</v>
      </c>
      <c r="M68">
        <f>_xlfn.XLOOKUP(I68,Terms!A:A,Terms!C:C,"")</f>
        <v>60</v>
      </c>
      <c r="N68">
        <f>IF(M68="",0,MAX(0,Settings!$B$5-M68)*F68/Settings!$B$4)</f>
        <v>0</v>
      </c>
      <c r="O68" s="11">
        <f>F68*_xlfn.XLOOKUP(I68,Terms!A:A,Terms!D:D,0)</f>
        <v>0</v>
      </c>
    </row>
    <row r="69" spans="1:15" x14ac:dyDescent="0.2">
      <c r="A69" t="s">
        <v>210</v>
      </c>
      <c r="B69" t="s">
        <v>211</v>
      </c>
      <c r="C69" t="s">
        <v>28</v>
      </c>
      <c r="D69" t="s">
        <v>29</v>
      </c>
      <c r="E69" t="s">
        <v>58</v>
      </c>
      <c r="F69" s="2">
        <v>1693890</v>
      </c>
      <c r="G69" s="3">
        <v>94.7</v>
      </c>
      <c r="H69" s="2">
        <v>705</v>
      </c>
      <c r="I69" t="s">
        <v>25</v>
      </c>
      <c r="J69" s="7">
        <f t="shared" si="4"/>
        <v>5.7980501438285358E-3</v>
      </c>
      <c r="K69" s="4">
        <f>SUM($J$2:J69)</f>
        <v>0.84463386504004478</v>
      </c>
      <c r="L69" t="str">
        <f t="shared" si="5"/>
        <v>B</v>
      </c>
      <c r="M69">
        <f>_xlfn.XLOOKUP(I69,Terms!A:A,Terms!C:C,"")</f>
        <v>30</v>
      </c>
      <c r="N69">
        <f>IF(M69="",0,MAX(0,Settings!$B$5-M69)*F69/Settings!$B$4)</f>
        <v>199281.17647058822</v>
      </c>
      <c r="O69" s="11">
        <f>F69*_xlfn.XLOOKUP(I69,Terms!A:A,Terms!D:D,0)</f>
        <v>33877.800000000003</v>
      </c>
    </row>
    <row r="70" spans="1:15" x14ac:dyDescent="0.2">
      <c r="A70" t="s">
        <v>208</v>
      </c>
      <c r="B70" t="s">
        <v>209</v>
      </c>
      <c r="C70" t="s">
        <v>11</v>
      </c>
      <c r="D70" t="s">
        <v>39</v>
      </c>
      <c r="E70" t="s">
        <v>24</v>
      </c>
      <c r="F70" s="2">
        <v>1625687</v>
      </c>
      <c r="G70" s="3">
        <v>70.599999999999994</v>
      </c>
      <c r="H70" s="2">
        <v>211</v>
      </c>
      <c r="I70" t="s">
        <v>45</v>
      </c>
      <c r="J70" s="7">
        <f t="shared" si="4"/>
        <v>5.5645967236185234E-3</v>
      </c>
      <c r="K70" s="4">
        <f>SUM($J$2:J70)</f>
        <v>0.85019846176366332</v>
      </c>
      <c r="L70" t="str">
        <f t="shared" si="5"/>
        <v>B</v>
      </c>
      <c r="M70">
        <f>_xlfn.XLOOKUP(I70,Terms!A:A,Terms!C:C,"")</f>
        <v>45</v>
      </c>
      <c r="N70">
        <f>IF(M70="",0,MAX(0,Settings!$B$5-M70)*F70/Settings!$B$4)</f>
        <v>95628.647058823524</v>
      </c>
      <c r="O70" s="11">
        <f>F70*_xlfn.XLOOKUP(I70,Terms!A:A,Terms!D:D,0)</f>
        <v>0</v>
      </c>
    </row>
    <row r="71" spans="1:15" x14ac:dyDescent="0.2">
      <c r="A71" t="s">
        <v>212</v>
      </c>
      <c r="B71" t="s">
        <v>213</v>
      </c>
      <c r="C71" t="s">
        <v>11</v>
      </c>
      <c r="D71" t="s">
        <v>12</v>
      </c>
      <c r="E71" t="s">
        <v>24</v>
      </c>
      <c r="F71" s="2">
        <v>1545398</v>
      </c>
      <c r="G71" s="3">
        <v>54.2</v>
      </c>
      <c r="H71" s="2">
        <v>0</v>
      </c>
      <c r="I71" t="s">
        <v>20</v>
      </c>
      <c r="J71" s="7">
        <f t="shared" si="4"/>
        <v>5.2897738909683228E-3</v>
      </c>
      <c r="K71" s="4">
        <f>SUM($J$2:J71)</f>
        <v>0.85548823565463161</v>
      </c>
      <c r="L71" t="str">
        <f t="shared" si="5"/>
        <v>B</v>
      </c>
      <c r="M71">
        <f>_xlfn.XLOOKUP(I71,Terms!A:A,Terms!C:C,"")</f>
        <v>60</v>
      </c>
      <c r="N71">
        <f>IF(M71="",0,MAX(0,Settings!$B$5-M71)*F71/Settings!$B$4)</f>
        <v>0</v>
      </c>
      <c r="O71" s="11">
        <f>F71*_xlfn.XLOOKUP(I71,Terms!A:A,Terms!D:D,0)</f>
        <v>0</v>
      </c>
    </row>
    <row r="72" spans="1:15" x14ac:dyDescent="0.2">
      <c r="A72" t="s">
        <v>71</v>
      </c>
      <c r="B72" t="s">
        <v>72</v>
      </c>
      <c r="C72" t="s">
        <v>11</v>
      </c>
      <c r="D72" t="s">
        <v>70</v>
      </c>
      <c r="E72" t="s">
        <v>19</v>
      </c>
      <c r="F72" s="2">
        <v>1544505</v>
      </c>
      <c r="G72" s="3">
        <v>63.6</v>
      </c>
      <c r="H72" s="2">
        <v>861</v>
      </c>
      <c r="I72" t="s">
        <v>30</v>
      </c>
      <c r="J72" s="7">
        <f t="shared" si="4"/>
        <v>5.2867172233107777E-3</v>
      </c>
      <c r="K72" s="4">
        <f>SUM($J$2:J72)</f>
        <v>0.86077495287794237</v>
      </c>
      <c r="L72" t="str">
        <f t="shared" si="5"/>
        <v>B</v>
      </c>
      <c r="M72">
        <f>_xlfn.XLOOKUP(I72,Terms!A:A,Terms!C:C,"")</f>
        <v>30</v>
      </c>
      <c r="N72">
        <f>IF(M72="",0,MAX(0,Settings!$B$5-M72)*F72/Settings!$B$4)</f>
        <v>181706.4705882353</v>
      </c>
      <c r="O72" s="11">
        <f>F72*_xlfn.XLOOKUP(I72,Terms!A:A,Terms!D:D,0)</f>
        <v>0</v>
      </c>
    </row>
    <row r="73" spans="1:15" x14ac:dyDescent="0.2">
      <c r="A73" t="s">
        <v>104</v>
      </c>
      <c r="B73" t="s">
        <v>105</v>
      </c>
      <c r="C73" t="s">
        <v>11</v>
      </c>
      <c r="D73" t="s">
        <v>39</v>
      </c>
      <c r="E73" t="s">
        <v>13</v>
      </c>
      <c r="F73" s="2">
        <v>1532145</v>
      </c>
      <c r="G73" s="3">
        <v>87.5</v>
      </c>
      <c r="H73" s="2">
        <v>118</v>
      </c>
      <c r="I73" t="s">
        <v>30</v>
      </c>
      <c r="J73" s="7">
        <f t="shared" si="4"/>
        <v>5.2444099307606589E-3</v>
      </c>
      <c r="K73" s="4">
        <f>SUM($J$2:J73)</f>
        <v>0.86601936280870306</v>
      </c>
      <c r="L73" t="str">
        <f t="shared" si="5"/>
        <v>B</v>
      </c>
      <c r="M73">
        <f>_xlfn.XLOOKUP(I73,Terms!A:A,Terms!C:C,"")</f>
        <v>30</v>
      </c>
      <c r="N73">
        <f>IF(M73="",0,MAX(0,Settings!$B$5-M73)*F73/Settings!$B$4)</f>
        <v>180252.35294117648</v>
      </c>
      <c r="O73" s="11">
        <f>F73*_xlfn.XLOOKUP(I73,Terms!A:A,Terms!D:D,0)</f>
        <v>0</v>
      </c>
    </row>
    <row r="74" spans="1:15" x14ac:dyDescent="0.2">
      <c r="A74" t="s">
        <v>200</v>
      </c>
      <c r="B74" t="s">
        <v>201</v>
      </c>
      <c r="C74" t="s">
        <v>17</v>
      </c>
      <c r="D74" t="s">
        <v>29</v>
      </c>
      <c r="E74" t="s">
        <v>24</v>
      </c>
      <c r="F74" s="2">
        <v>1479272</v>
      </c>
      <c r="G74" s="3">
        <v>63.6</v>
      </c>
      <c r="H74" s="2">
        <v>53</v>
      </c>
      <c r="I74" t="s">
        <v>30</v>
      </c>
      <c r="J74" s="7">
        <f t="shared" si="4"/>
        <v>5.063429875825187E-3</v>
      </c>
      <c r="K74" s="4">
        <f>SUM($J$2:J74)</f>
        <v>0.87108279268452826</v>
      </c>
      <c r="L74" t="str">
        <f t="shared" si="5"/>
        <v>B</v>
      </c>
      <c r="M74">
        <f>_xlfn.XLOOKUP(I74,Terms!A:A,Terms!C:C,"")</f>
        <v>30</v>
      </c>
      <c r="N74">
        <f>IF(M74="",0,MAX(0,Settings!$B$5-M74)*F74/Settings!$B$4)</f>
        <v>174032</v>
      </c>
      <c r="O74" s="11">
        <f>F74*_xlfn.XLOOKUP(I74,Terms!A:A,Terms!D:D,0)</f>
        <v>0</v>
      </c>
    </row>
    <row r="75" spans="1:15" x14ac:dyDescent="0.2">
      <c r="A75" t="s">
        <v>49</v>
      </c>
      <c r="B75" t="s">
        <v>50</v>
      </c>
      <c r="C75" t="s">
        <v>17</v>
      </c>
      <c r="D75" t="s">
        <v>34</v>
      </c>
      <c r="E75" t="s">
        <v>19</v>
      </c>
      <c r="F75" s="2">
        <v>1406564</v>
      </c>
      <c r="G75" s="3">
        <v>52.2</v>
      </c>
      <c r="H75" s="2">
        <v>885</v>
      </c>
      <c r="I75" t="s">
        <v>25</v>
      </c>
      <c r="J75" s="7">
        <f t="shared" si="4"/>
        <v>4.8145562005230801E-3</v>
      </c>
      <c r="K75" s="4">
        <f>SUM($J$2:J75)</f>
        <v>0.87589734888505133</v>
      </c>
      <c r="L75" t="str">
        <f t="shared" si="5"/>
        <v>B</v>
      </c>
      <c r="M75">
        <f>_xlfn.XLOOKUP(I75,Terms!A:A,Terms!C:C,"")</f>
        <v>30</v>
      </c>
      <c r="N75">
        <f>IF(M75="",0,MAX(0,Settings!$B$5-M75)*F75/Settings!$B$4)</f>
        <v>165478.11764705883</v>
      </c>
      <c r="O75" s="11">
        <f>F75*_xlfn.XLOOKUP(I75,Terms!A:A,Terms!D:D,0)</f>
        <v>28131.279999999999</v>
      </c>
    </row>
    <row r="76" spans="1:15" x14ac:dyDescent="0.2">
      <c r="A76" t="s">
        <v>144</v>
      </c>
      <c r="B76" t="s">
        <v>145</v>
      </c>
      <c r="C76" t="s">
        <v>75</v>
      </c>
      <c r="D76" t="s">
        <v>23</v>
      </c>
      <c r="E76" t="s">
        <v>58</v>
      </c>
      <c r="F76" s="2">
        <v>1405509</v>
      </c>
      <c r="G76" s="3">
        <v>95.2</v>
      </c>
      <c r="H76" s="2">
        <v>5227</v>
      </c>
      <c r="I76" t="s">
        <v>25</v>
      </c>
      <c r="J76" s="7">
        <f t="shared" si="4"/>
        <v>4.8109450198078399E-3</v>
      </c>
      <c r="K76" s="4">
        <f>SUM($J$2:J76)</f>
        <v>0.88070829390485916</v>
      </c>
      <c r="L76" t="str">
        <f t="shared" si="5"/>
        <v>B</v>
      </c>
      <c r="M76">
        <f>_xlfn.XLOOKUP(I76,Terms!A:A,Terms!C:C,"")</f>
        <v>30</v>
      </c>
      <c r="N76">
        <f>IF(M76="",0,MAX(0,Settings!$B$5-M76)*F76/Settings!$B$4)</f>
        <v>165354</v>
      </c>
      <c r="O76" s="11">
        <f>F76*_xlfn.XLOOKUP(I76,Terms!A:A,Terms!D:D,0)</f>
        <v>28110.18</v>
      </c>
    </row>
    <row r="77" spans="1:15" x14ac:dyDescent="0.2">
      <c r="A77" t="s">
        <v>118</v>
      </c>
      <c r="B77" t="s">
        <v>119</v>
      </c>
      <c r="C77" t="s">
        <v>75</v>
      </c>
      <c r="D77" t="s">
        <v>70</v>
      </c>
      <c r="E77" t="s">
        <v>24</v>
      </c>
      <c r="F77" s="2">
        <v>1292882</v>
      </c>
      <c r="G77" s="3">
        <v>57.1</v>
      </c>
      <c r="H77" s="2">
        <v>248</v>
      </c>
      <c r="I77" t="s">
        <v>25</v>
      </c>
      <c r="J77" s="7">
        <f t="shared" si="4"/>
        <v>4.4254317966652646E-3</v>
      </c>
      <c r="K77" s="4">
        <f>SUM($J$2:J77)</f>
        <v>0.88513372570152438</v>
      </c>
      <c r="L77" t="str">
        <f t="shared" si="5"/>
        <v>B</v>
      </c>
      <c r="M77">
        <f>_xlfn.XLOOKUP(I77,Terms!A:A,Terms!C:C,"")</f>
        <v>30</v>
      </c>
      <c r="N77">
        <f>IF(M77="",0,MAX(0,Settings!$B$5-M77)*F77/Settings!$B$4)</f>
        <v>152103.76470588235</v>
      </c>
      <c r="O77" s="11">
        <f>F77*_xlfn.XLOOKUP(I77,Terms!A:A,Terms!D:D,0)</f>
        <v>25857.64</v>
      </c>
    </row>
    <row r="78" spans="1:15" x14ac:dyDescent="0.2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s="2">
        <v>1268156</v>
      </c>
      <c r="G78" s="3">
        <v>100</v>
      </c>
      <c r="H78" s="2">
        <v>81</v>
      </c>
      <c r="I78" t="s">
        <v>14</v>
      </c>
      <c r="J78" s="7">
        <f t="shared" si="4"/>
        <v>4.3407966740443716E-3</v>
      </c>
      <c r="K78" s="4">
        <f>SUM($J$2:J78)</f>
        <v>0.88947452237556879</v>
      </c>
      <c r="L78" t="str">
        <f t="shared" si="5"/>
        <v>B</v>
      </c>
      <c r="M78" t="str">
        <f>_xlfn.XLOOKUP(I78,Terms!A:A,Terms!C:C,"")</f>
        <v/>
      </c>
      <c r="N78">
        <f>IF(M78="",0,MAX(0,Settings!$B$5-M78)*F78/Settings!$B$4)</f>
        <v>0</v>
      </c>
      <c r="O78" s="11">
        <f>F78*_xlfn.XLOOKUP(I78,Terms!A:A,Terms!D:D,0)</f>
        <v>0</v>
      </c>
    </row>
    <row r="79" spans="1:15" x14ac:dyDescent="0.2">
      <c r="A79" t="s">
        <v>194</v>
      </c>
      <c r="B79" t="s">
        <v>195</v>
      </c>
      <c r="C79" t="s">
        <v>17</v>
      </c>
      <c r="D79" t="s">
        <v>39</v>
      </c>
      <c r="E79" t="s">
        <v>13</v>
      </c>
      <c r="F79" s="2">
        <v>1172222</v>
      </c>
      <c r="G79" s="3">
        <v>85.7</v>
      </c>
      <c r="H79" s="2">
        <v>75</v>
      </c>
      <c r="I79" t="s">
        <v>20</v>
      </c>
      <c r="J79" s="7">
        <f t="shared" si="4"/>
        <v>4.0124222562852212E-3</v>
      </c>
      <c r="K79" s="4">
        <f>SUM($J$2:J79)</f>
        <v>0.89348694463185396</v>
      </c>
      <c r="L79" t="str">
        <f t="shared" si="5"/>
        <v>B</v>
      </c>
      <c r="M79">
        <f>_xlfn.XLOOKUP(I79,Terms!A:A,Terms!C:C,"")</f>
        <v>60</v>
      </c>
      <c r="N79">
        <f>IF(M79="",0,MAX(0,Settings!$B$5-M79)*F79/Settings!$B$4)</f>
        <v>0</v>
      </c>
      <c r="O79" s="11">
        <f>F79*_xlfn.XLOOKUP(I79,Terms!A:A,Terms!D:D,0)</f>
        <v>0</v>
      </c>
    </row>
    <row r="80" spans="1:15" x14ac:dyDescent="0.2">
      <c r="A80" t="s">
        <v>178</v>
      </c>
      <c r="B80" t="s">
        <v>179</v>
      </c>
      <c r="C80" t="s">
        <v>11</v>
      </c>
      <c r="D80" t="s">
        <v>70</v>
      </c>
      <c r="E80" t="s">
        <v>19</v>
      </c>
      <c r="F80" s="2">
        <v>1150286</v>
      </c>
      <c r="G80" s="3">
        <v>58.3</v>
      </c>
      <c r="H80" s="2">
        <v>1048</v>
      </c>
      <c r="I80" t="s">
        <v>20</v>
      </c>
      <c r="J80" s="7">
        <f t="shared" si="4"/>
        <v>3.9373370807690884E-3</v>
      </c>
      <c r="K80" s="4">
        <f>SUM($J$2:J80)</f>
        <v>0.89742428171262301</v>
      </c>
      <c r="L80" t="str">
        <f t="shared" si="5"/>
        <v>B</v>
      </c>
      <c r="M80">
        <f>_xlfn.XLOOKUP(I80,Terms!A:A,Terms!C:C,"")</f>
        <v>60</v>
      </c>
      <c r="N80">
        <f>IF(M80="",0,MAX(0,Settings!$B$5-M80)*F80/Settings!$B$4)</f>
        <v>0</v>
      </c>
      <c r="O80" s="11">
        <f>F80*_xlfn.XLOOKUP(I80,Terms!A:A,Terms!D:D,0)</f>
        <v>0</v>
      </c>
    </row>
    <row r="81" spans="1:15" x14ac:dyDescent="0.2">
      <c r="A81" t="s">
        <v>116</v>
      </c>
      <c r="B81" t="s">
        <v>117</v>
      </c>
      <c r="C81" t="s">
        <v>75</v>
      </c>
      <c r="D81" t="s">
        <v>39</v>
      </c>
      <c r="E81" t="s">
        <v>19</v>
      </c>
      <c r="F81" s="2">
        <v>1138729</v>
      </c>
      <c r="G81" s="3">
        <v>46.2</v>
      </c>
      <c r="H81" s="2">
        <v>550</v>
      </c>
      <c r="I81" t="s">
        <v>25</v>
      </c>
      <c r="J81" s="7">
        <f t="shared" si="4"/>
        <v>3.8977783930666835E-3</v>
      </c>
      <c r="K81" s="4">
        <f>SUM($J$2:J81)</f>
        <v>0.90132206010568972</v>
      </c>
      <c r="L81" t="str">
        <f t="shared" si="5"/>
        <v>B</v>
      </c>
      <c r="M81">
        <f>_xlfn.XLOOKUP(I81,Terms!A:A,Terms!C:C,"")</f>
        <v>30</v>
      </c>
      <c r="N81">
        <f>IF(M81="",0,MAX(0,Settings!$B$5-M81)*F81/Settings!$B$4)</f>
        <v>133968.11764705883</v>
      </c>
      <c r="O81" s="11">
        <f>F81*_xlfn.XLOOKUP(I81,Terms!A:A,Terms!D:D,0)</f>
        <v>22774.58</v>
      </c>
    </row>
    <row r="82" spans="1:15" x14ac:dyDescent="0.2">
      <c r="A82" t="s">
        <v>264</v>
      </c>
      <c r="B82" t="s">
        <v>265</v>
      </c>
      <c r="C82" t="s">
        <v>11</v>
      </c>
      <c r="D82" t="s">
        <v>18</v>
      </c>
      <c r="E82" t="s">
        <v>13</v>
      </c>
      <c r="F82" s="2">
        <v>1113399</v>
      </c>
      <c r="G82" s="3">
        <v>100</v>
      </c>
      <c r="H82" s="2">
        <v>288</v>
      </c>
      <c r="I82" t="s">
        <v>20</v>
      </c>
      <c r="J82" s="7">
        <f t="shared" si="4"/>
        <v>3.8110758266998142E-3</v>
      </c>
      <c r="K82" s="4">
        <f>SUM($J$2:J82)</f>
        <v>0.90513313593238953</v>
      </c>
      <c r="L82" t="str">
        <f t="shared" si="5"/>
        <v>B</v>
      </c>
      <c r="M82">
        <f>_xlfn.XLOOKUP(I82,Terms!A:A,Terms!C:C,"")</f>
        <v>60</v>
      </c>
      <c r="N82">
        <f>IF(M82="",0,MAX(0,Settings!$B$5-M82)*F82/Settings!$B$4)</f>
        <v>0</v>
      </c>
      <c r="O82" s="11">
        <f>F82*_xlfn.XLOOKUP(I82,Terms!A:A,Terms!D:D,0)</f>
        <v>0</v>
      </c>
    </row>
    <row r="83" spans="1:15" x14ac:dyDescent="0.2">
      <c r="A83" t="s">
        <v>162</v>
      </c>
      <c r="B83" t="s">
        <v>163</v>
      </c>
      <c r="C83" t="s">
        <v>63</v>
      </c>
      <c r="D83" t="s">
        <v>18</v>
      </c>
      <c r="E83" t="s">
        <v>24</v>
      </c>
      <c r="F83" s="2">
        <v>1111745</v>
      </c>
      <c r="G83" s="3">
        <v>80</v>
      </c>
      <c r="H83" s="2">
        <v>74</v>
      </c>
      <c r="I83" t="s">
        <v>45</v>
      </c>
      <c r="J83" s="7">
        <f t="shared" si="4"/>
        <v>3.8054143168391426E-3</v>
      </c>
      <c r="K83" s="4">
        <f>SUM($J$2:J83)</f>
        <v>0.90893855024922865</v>
      </c>
      <c r="L83" t="str">
        <f t="shared" si="5"/>
        <v>B</v>
      </c>
      <c r="M83">
        <f>_xlfn.XLOOKUP(I83,Terms!A:A,Terms!C:C,"")</f>
        <v>45</v>
      </c>
      <c r="N83">
        <f>IF(M83="",0,MAX(0,Settings!$B$5-M83)*F83/Settings!$B$4)</f>
        <v>65396.76470588235</v>
      </c>
      <c r="O83" s="11">
        <f>F83*_xlfn.XLOOKUP(I83,Terms!A:A,Terms!D:D,0)</f>
        <v>0</v>
      </c>
    </row>
    <row r="84" spans="1:15" x14ac:dyDescent="0.2">
      <c r="A84" t="s">
        <v>218</v>
      </c>
      <c r="B84" t="s">
        <v>219</v>
      </c>
      <c r="C84" t="s">
        <v>28</v>
      </c>
      <c r="D84" t="s">
        <v>29</v>
      </c>
      <c r="E84" t="s">
        <v>24</v>
      </c>
      <c r="F84" s="2">
        <v>1093804</v>
      </c>
      <c r="G84" s="3">
        <v>69.2</v>
      </c>
      <c r="H84" s="2">
        <v>81</v>
      </c>
      <c r="I84" t="s">
        <v>45</v>
      </c>
      <c r="J84" s="7">
        <f t="shared" si="4"/>
        <v>3.7440037071593949E-3</v>
      </c>
      <c r="K84" s="4">
        <f>SUM($J$2:J84)</f>
        <v>0.91268255395638809</v>
      </c>
      <c r="L84" t="str">
        <f t="shared" si="5"/>
        <v>B</v>
      </c>
      <c r="M84">
        <f>_xlfn.XLOOKUP(I84,Terms!A:A,Terms!C:C,"")</f>
        <v>45</v>
      </c>
      <c r="N84">
        <f>IF(M84="",0,MAX(0,Settings!$B$5-M84)*F84/Settings!$B$4)</f>
        <v>64341.411764705881</v>
      </c>
      <c r="O84" s="11">
        <f>F84*_xlfn.XLOOKUP(I84,Terms!A:A,Terms!D:D,0)</f>
        <v>0</v>
      </c>
    </row>
    <row r="85" spans="1:15" x14ac:dyDescent="0.2">
      <c r="A85" t="s">
        <v>56</v>
      </c>
      <c r="B85" t="s">
        <v>57</v>
      </c>
      <c r="C85" t="s">
        <v>17</v>
      </c>
      <c r="D85" t="s">
        <v>39</v>
      </c>
      <c r="E85" t="s">
        <v>58</v>
      </c>
      <c r="F85" s="2">
        <v>1061536</v>
      </c>
      <c r="G85" s="3">
        <v>90.9</v>
      </c>
      <c r="H85" s="2">
        <v>503</v>
      </c>
      <c r="I85" t="s">
        <v>30</v>
      </c>
      <c r="J85" s="7">
        <f t="shared" si="4"/>
        <v>3.6335529210746675E-3</v>
      </c>
      <c r="K85" s="4">
        <f>SUM($J$2:J85)</f>
        <v>0.91631610687746279</v>
      </c>
      <c r="L85" t="str">
        <f t="shared" si="5"/>
        <v>B</v>
      </c>
      <c r="M85">
        <f>_xlfn.XLOOKUP(I85,Terms!A:A,Terms!C:C,"")</f>
        <v>30</v>
      </c>
      <c r="N85">
        <f>IF(M85="",0,MAX(0,Settings!$B$5-M85)*F85/Settings!$B$4)</f>
        <v>124886.58823529411</v>
      </c>
      <c r="O85" s="11">
        <f>F85*_xlfn.XLOOKUP(I85,Terms!A:A,Terms!D:D,0)</f>
        <v>0</v>
      </c>
    </row>
    <row r="86" spans="1:15" x14ac:dyDescent="0.2">
      <c r="A86" t="s">
        <v>130</v>
      </c>
      <c r="B86" t="s">
        <v>131</v>
      </c>
      <c r="C86" t="s">
        <v>11</v>
      </c>
      <c r="D86" t="s">
        <v>18</v>
      </c>
      <c r="E86" t="s">
        <v>19</v>
      </c>
      <c r="F86" s="2">
        <v>1055719</v>
      </c>
      <c r="G86" s="3">
        <v>76.900000000000006</v>
      </c>
      <c r="H86" s="2">
        <v>725</v>
      </c>
      <c r="I86" t="s">
        <v>20</v>
      </c>
      <c r="J86" s="7">
        <f t="shared" si="4"/>
        <v>3.6136417947992597E-3</v>
      </c>
      <c r="K86" s="4">
        <f>SUM($J$2:J86)</f>
        <v>0.91992974867226207</v>
      </c>
      <c r="L86" t="str">
        <f t="shared" si="5"/>
        <v>B</v>
      </c>
      <c r="M86">
        <f>_xlfn.XLOOKUP(I86,Terms!A:A,Terms!C:C,"")</f>
        <v>60</v>
      </c>
      <c r="N86">
        <f>IF(M86="",0,MAX(0,Settings!$B$5-M86)*F86/Settings!$B$4)</f>
        <v>0</v>
      </c>
      <c r="O86" s="11">
        <f>F86*_xlfn.XLOOKUP(I86,Terms!A:A,Terms!D:D,0)</f>
        <v>0</v>
      </c>
    </row>
    <row r="87" spans="1:15" x14ac:dyDescent="0.2">
      <c r="A87" t="s">
        <v>184</v>
      </c>
      <c r="B87" t="s">
        <v>185</v>
      </c>
      <c r="C87" t="s">
        <v>11</v>
      </c>
      <c r="D87" t="s">
        <v>39</v>
      </c>
      <c r="E87" t="s">
        <v>24</v>
      </c>
      <c r="F87" s="2">
        <v>1037511</v>
      </c>
      <c r="G87" s="3">
        <v>70</v>
      </c>
      <c r="H87" s="2">
        <v>116</v>
      </c>
      <c r="I87" t="s">
        <v>45</v>
      </c>
      <c r="J87" s="7">
        <f t="shared" si="4"/>
        <v>3.551317265450347E-3</v>
      </c>
      <c r="K87" s="4">
        <f>SUM($J$2:J87)</f>
        <v>0.9234810659377124</v>
      </c>
      <c r="L87" t="str">
        <f t="shared" si="5"/>
        <v>B</v>
      </c>
      <c r="M87">
        <f>_xlfn.XLOOKUP(I87,Terms!A:A,Terms!C:C,"")</f>
        <v>45</v>
      </c>
      <c r="N87">
        <f>IF(M87="",0,MAX(0,Settings!$B$5-M87)*F87/Settings!$B$4)</f>
        <v>61030.058823529413</v>
      </c>
      <c r="O87" s="11">
        <f>F87*_xlfn.XLOOKUP(I87,Terms!A:A,Terms!D:D,0)</f>
        <v>0</v>
      </c>
    </row>
    <row r="88" spans="1:15" x14ac:dyDescent="0.2">
      <c r="A88" t="s">
        <v>21</v>
      </c>
      <c r="B88" t="s">
        <v>22</v>
      </c>
      <c r="C88" t="s">
        <v>11</v>
      </c>
      <c r="D88" t="s">
        <v>23</v>
      </c>
      <c r="E88" t="s">
        <v>24</v>
      </c>
      <c r="F88" s="2">
        <v>1011810</v>
      </c>
      <c r="G88" s="3">
        <v>80</v>
      </c>
      <c r="H88" s="2">
        <v>0</v>
      </c>
      <c r="I88" t="s">
        <v>25</v>
      </c>
      <c r="J88" s="7">
        <f t="shared" si="4"/>
        <v>3.4633447957229517E-3</v>
      </c>
      <c r="K88" s="4">
        <f>SUM($J$2:J88)</f>
        <v>0.92694441073343536</v>
      </c>
      <c r="L88" t="str">
        <f t="shared" si="5"/>
        <v>B</v>
      </c>
      <c r="M88">
        <f>_xlfn.XLOOKUP(I88,Terms!A:A,Terms!C:C,"")</f>
        <v>30</v>
      </c>
      <c r="N88">
        <f>IF(M88="",0,MAX(0,Settings!$B$5-M88)*F88/Settings!$B$4)</f>
        <v>119036.4705882353</v>
      </c>
      <c r="O88" s="11">
        <f>F88*_xlfn.XLOOKUP(I88,Terms!A:A,Terms!D:D,0)</f>
        <v>20236.2</v>
      </c>
    </row>
    <row r="89" spans="1:15" x14ac:dyDescent="0.2">
      <c r="A89" t="s">
        <v>166</v>
      </c>
      <c r="B89" t="s">
        <v>167</v>
      </c>
      <c r="C89" t="s">
        <v>17</v>
      </c>
      <c r="D89" t="s">
        <v>18</v>
      </c>
      <c r="E89" t="s">
        <v>58</v>
      </c>
      <c r="F89" s="2">
        <v>1005997</v>
      </c>
      <c r="G89" s="3">
        <v>100</v>
      </c>
      <c r="H89" s="2">
        <v>5294</v>
      </c>
      <c r="I89" t="s">
        <v>25</v>
      </c>
      <c r="J89" s="7">
        <f t="shared" si="4"/>
        <v>3.4434473611279809E-3</v>
      </c>
      <c r="K89" s="4">
        <f>SUM($J$2:J89)</f>
        <v>0.93038785809456337</v>
      </c>
      <c r="L89" t="str">
        <f t="shared" si="5"/>
        <v>B</v>
      </c>
      <c r="M89">
        <f>_xlfn.XLOOKUP(I89,Terms!A:A,Terms!C:C,"")</f>
        <v>30</v>
      </c>
      <c r="N89">
        <f>IF(M89="",0,MAX(0,Settings!$B$5-M89)*F89/Settings!$B$4)</f>
        <v>118352.58823529411</v>
      </c>
      <c r="O89" s="11">
        <f>F89*_xlfn.XLOOKUP(I89,Terms!A:A,Terms!D:D,0)</f>
        <v>20119.939999999999</v>
      </c>
    </row>
    <row r="90" spans="1:15" x14ac:dyDescent="0.2">
      <c r="A90" t="s">
        <v>170</v>
      </c>
      <c r="B90" t="s">
        <v>171</v>
      </c>
      <c r="C90" t="s">
        <v>17</v>
      </c>
      <c r="D90" t="s">
        <v>53</v>
      </c>
      <c r="E90" t="s">
        <v>19</v>
      </c>
      <c r="F90" s="2">
        <v>997560</v>
      </c>
      <c r="G90" s="3">
        <v>72.7</v>
      </c>
      <c r="H90" s="2">
        <v>1095</v>
      </c>
      <c r="I90" t="s">
        <v>45</v>
      </c>
      <c r="J90" s="7">
        <f t="shared" si="4"/>
        <v>3.4145681841663829E-3</v>
      </c>
      <c r="K90" s="4">
        <f>SUM($J$2:J90)</f>
        <v>0.93380242627872978</v>
      </c>
      <c r="L90" t="str">
        <f t="shared" si="5"/>
        <v>B</v>
      </c>
      <c r="M90">
        <f>_xlfn.XLOOKUP(I90,Terms!A:A,Terms!C:C,"")</f>
        <v>45</v>
      </c>
      <c r="N90">
        <f>IF(M90="",0,MAX(0,Settings!$B$5-M90)*F90/Settings!$B$4)</f>
        <v>58680</v>
      </c>
      <c r="O90" s="11">
        <f>F90*_xlfn.XLOOKUP(I90,Terms!A:A,Terms!D:D,0)</f>
        <v>0</v>
      </c>
    </row>
    <row r="91" spans="1:15" x14ac:dyDescent="0.2">
      <c r="A91" t="s">
        <v>64</v>
      </c>
      <c r="B91" t="s">
        <v>65</v>
      </c>
      <c r="C91" t="s">
        <v>11</v>
      </c>
      <c r="D91" t="s">
        <v>23</v>
      </c>
      <c r="E91" t="s">
        <v>19</v>
      </c>
      <c r="F91" s="2">
        <v>972085</v>
      </c>
      <c r="G91" s="3">
        <v>64.3</v>
      </c>
      <c r="H91" s="2">
        <v>4586</v>
      </c>
      <c r="I91" t="s">
        <v>25</v>
      </c>
      <c r="J91" s="7">
        <f t="shared" si="4"/>
        <v>3.3273692943836743E-3</v>
      </c>
      <c r="K91" s="4">
        <f>SUM($J$2:J91)</f>
        <v>0.93712979557311349</v>
      </c>
      <c r="L91" t="str">
        <f t="shared" si="5"/>
        <v>B</v>
      </c>
      <c r="M91">
        <f>_xlfn.XLOOKUP(I91,Terms!A:A,Terms!C:C,"")</f>
        <v>30</v>
      </c>
      <c r="N91">
        <f>IF(M91="",0,MAX(0,Settings!$B$5-M91)*F91/Settings!$B$4)</f>
        <v>114362.94117647059</v>
      </c>
      <c r="O91" s="11">
        <f>F91*_xlfn.XLOOKUP(I91,Terms!A:A,Terms!D:D,0)</f>
        <v>19441.7</v>
      </c>
    </row>
    <row r="92" spans="1:15" x14ac:dyDescent="0.2">
      <c r="A92" t="s">
        <v>98</v>
      </c>
      <c r="B92" t="s">
        <v>99</v>
      </c>
      <c r="C92" t="s">
        <v>28</v>
      </c>
      <c r="D92" t="s">
        <v>34</v>
      </c>
      <c r="E92" t="s">
        <v>58</v>
      </c>
      <c r="F92" s="2">
        <v>962516</v>
      </c>
      <c r="G92" s="3">
        <v>100</v>
      </c>
      <c r="H92" s="2">
        <v>1082</v>
      </c>
      <c r="I92" t="s">
        <v>20</v>
      </c>
      <c r="J92" s="7">
        <f t="shared" si="4"/>
        <v>3.2946153718584246E-3</v>
      </c>
      <c r="K92" s="4">
        <f>SUM($J$2:J92)</f>
        <v>0.94042441094497187</v>
      </c>
      <c r="L92" t="str">
        <f t="shared" si="5"/>
        <v>B</v>
      </c>
      <c r="M92">
        <f>_xlfn.XLOOKUP(I92,Terms!A:A,Terms!C:C,"")</f>
        <v>60</v>
      </c>
      <c r="N92">
        <f>IF(M92="",0,MAX(0,Settings!$B$5-M92)*F92/Settings!$B$4)</f>
        <v>0</v>
      </c>
      <c r="O92" s="11">
        <f>F92*_xlfn.XLOOKUP(I92,Terms!A:A,Terms!D:D,0)</f>
        <v>0</v>
      </c>
    </row>
    <row r="93" spans="1:15" x14ac:dyDescent="0.2">
      <c r="A93" t="s">
        <v>156</v>
      </c>
      <c r="B93" t="s">
        <v>157</v>
      </c>
      <c r="C93" t="s">
        <v>28</v>
      </c>
      <c r="D93" t="s">
        <v>34</v>
      </c>
      <c r="E93" t="s">
        <v>13</v>
      </c>
      <c r="F93" s="2">
        <v>948328</v>
      </c>
      <c r="G93" s="3">
        <v>100</v>
      </c>
      <c r="H93" s="2">
        <v>57</v>
      </c>
      <c r="I93" t="s">
        <v>14</v>
      </c>
      <c r="J93" s="7">
        <f t="shared" si="4"/>
        <v>3.2460509813486281E-3</v>
      </c>
      <c r="K93" s="4">
        <f>SUM($J$2:J93)</f>
        <v>0.94367046192632054</v>
      </c>
      <c r="L93" t="str">
        <f t="shared" si="5"/>
        <v>B</v>
      </c>
      <c r="M93" t="str">
        <f>_xlfn.XLOOKUP(I93,Terms!A:A,Terms!C:C,"")</f>
        <v/>
      </c>
      <c r="N93">
        <f>IF(M93="",0,MAX(0,Settings!$B$5-M93)*F93/Settings!$B$4)</f>
        <v>0</v>
      </c>
      <c r="O93" s="11">
        <f>F93*_xlfn.XLOOKUP(I93,Terms!A:A,Terms!D:D,0)</f>
        <v>0</v>
      </c>
    </row>
    <row r="94" spans="1:15" x14ac:dyDescent="0.2">
      <c r="A94" t="s">
        <v>40</v>
      </c>
      <c r="B94" t="s">
        <v>41</v>
      </c>
      <c r="C94" t="s">
        <v>11</v>
      </c>
      <c r="D94" t="s">
        <v>34</v>
      </c>
      <c r="E94" t="s">
        <v>24</v>
      </c>
      <c r="F94" s="2">
        <v>872158</v>
      </c>
      <c r="G94" s="3">
        <v>33.299999999999997</v>
      </c>
      <c r="H94" s="2">
        <v>211</v>
      </c>
      <c r="I94" t="s">
        <v>30</v>
      </c>
      <c r="J94" s="7">
        <f t="shared" si="4"/>
        <v>2.9853271566283573E-3</v>
      </c>
      <c r="K94" s="4">
        <f>SUM($J$2:J94)</f>
        <v>0.9466557890829489</v>
      </c>
      <c r="L94" t="str">
        <f t="shared" si="5"/>
        <v>B</v>
      </c>
      <c r="M94">
        <f>_xlfn.XLOOKUP(I94,Terms!A:A,Terms!C:C,"")</f>
        <v>30</v>
      </c>
      <c r="N94">
        <f>IF(M94="",0,MAX(0,Settings!$B$5-M94)*F94/Settings!$B$4)</f>
        <v>102606.82352941176</v>
      </c>
      <c r="O94" s="11">
        <f>F94*_xlfn.XLOOKUP(I94,Terms!A:A,Terms!D:D,0)</f>
        <v>0</v>
      </c>
    </row>
    <row r="95" spans="1:15" x14ac:dyDescent="0.2">
      <c r="A95" t="s">
        <v>126</v>
      </c>
      <c r="B95" t="s">
        <v>127</v>
      </c>
      <c r="C95" t="s">
        <v>11</v>
      </c>
      <c r="D95" t="s">
        <v>29</v>
      </c>
      <c r="E95" t="s">
        <v>13</v>
      </c>
      <c r="F95" s="2">
        <v>849030</v>
      </c>
      <c r="G95" s="3">
        <v>100</v>
      </c>
      <c r="H95" s="2">
        <v>167</v>
      </c>
      <c r="I95" t="s">
        <v>25</v>
      </c>
      <c r="J95" s="7">
        <f t="shared" si="4"/>
        <v>2.9061618603420185E-3</v>
      </c>
      <c r="K95" s="4">
        <f>SUM($J$2:J95)</f>
        <v>0.94956195094329088</v>
      </c>
      <c r="L95" t="str">
        <f t="shared" si="5"/>
        <v>B</v>
      </c>
      <c r="M95">
        <f>_xlfn.XLOOKUP(I95,Terms!A:A,Terms!C:C,"")</f>
        <v>30</v>
      </c>
      <c r="N95">
        <f>IF(M95="",0,MAX(0,Settings!$B$5-M95)*F95/Settings!$B$4)</f>
        <v>99885.882352941175</v>
      </c>
      <c r="O95" s="11">
        <f>F95*_xlfn.XLOOKUP(I95,Terms!A:A,Terms!D:D,0)</f>
        <v>16980.599999999999</v>
      </c>
    </row>
    <row r="96" spans="1:15" x14ac:dyDescent="0.2">
      <c r="A96" t="s">
        <v>146</v>
      </c>
      <c r="B96" t="s">
        <v>147</v>
      </c>
      <c r="C96" t="s">
        <v>63</v>
      </c>
      <c r="D96" t="s">
        <v>23</v>
      </c>
      <c r="E96" t="s">
        <v>13</v>
      </c>
      <c r="F96" s="2">
        <v>847714</v>
      </c>
      <c r="G96" s="3">
        <v>100</v>
      </c>
      <c r="H96" s="2">
        <v>83</v>
      </c>
      <c r="I96" t="s">
        <v>25</v>
      </c>
      <c r="J96" s="7">
        <f t="shared" si="4"/>
        <v>2.9016572974782679E-3</v>
      </c>
      <c r="K96" s="4">
        <f>SUM($J$2:J96)</f>
        <v>0.95246360824076914</v>
      </c>
      <c r="L96" t="str">
        <f t="shared" si="5"/>
        <v>C</v>
      </c>
      <c r="M96">
        <f>_xlfn.XLOOKUP(I96,Terms!A:A,Terms!C:C,"")</f>
        <v>30</v>
      </c>
      <c r="N96">
        <f>IF(M96="",0,MAX(0,Settings!$B$5-M96)*F96/Settings!$B$4)</f>
        <v>99731.058823529413</v>
      </c>
      <c r="O96" s="11">
        <f>F96*_xlfn.XLOOKUP(I96,Terms!A:A,Terms!D:D,0)</f>
        <v>16954.28</v>
      </c>
    </row>
    <row r="97" spans="1:15" x14ac:dyDescent="0.2">
      <c r="A97" t="s">
        <v>254</v>
      </c>
      <c r="B97" t="s">
        <v>255</v>
      </c>
      <c r="C97" t="s">
        <v>11</v>
      </c>
      <c r="D97" t="s">
        <v>34</v>
      </c>
      <c r="E97" t="s">
        <v>24</v>
      </c>
      <c r="F97" s="2">
        <v>847410</v>
      </c>
      <c r="G97" s="3">
        <v>16.7</v>
      </c>
      <c r="H97" s="2">
        <v>73</v>
      </c>
      <c r="I97" t="s">
        <v>25</v>
      </c>
      <c r="J97" s="7">
        <f t="shared" si="4"/>
        <v>2.9006167297650613E-3</v>
      </c>
      <c r="K97" s="4">
        <f>SUM($J$2:J97)</f>
        <v>0.95536422497053419</v>
      </c>
      <c r="L97" t="str">
        <f t="shared" si="5"/>
        <v>C</v>
      </c>
      <c r="M97">
        <f>_xlfn.XLOOKUP(I97,Terms!A:A,Terms!C:C,"")</f>
        <v>30</v>
      </c>
      <c r="N97">
        <f>IF(M97="",0,MAX(0,Settings!$B$5-M97)*F97/Settings!$B$4)</f>
        <v>99695.294117647063</v>
      </c>
      <c r="O97" s="11">
        <f>F97*_xlfn.XLOOKUP(I97,Terms!A:A,Terms!D:D,0)</f>
        <v>16948.2</v>
      </c>
    </row>
    <row r="98" spans="1:15" x14ac:dyDescent="0.2">
      <c r="A98" t="s">
        <v>230</v>
      </c>
      <c r="B98" t="s">
        <v>231</v>
      </c>
      <c r="C98" t="s">
        <v>17</v>
      </c>
      <c r="D98" t="s">
        <v>39</v>
      </c>
      <c r="E98" t="s">
        <v>19</v>
      </c>
      <c r="F98" s="2">
        <v>840934</v>
      </c>
      <c r="G98" s="3">
        <v>50</v>
      </c>
      <c r="H98" s="2">
        <v>1333</v>
      </c>
      <c r="I98" t="s">
        <v>45</v>
      </c>
      <c r="J98" s="7">
        <f t="shared" ref="J98:J121" si="6">F98/SUM($F$2:$F$121)</f>
        <v>2.8784498991376688E-3</v>
      </c>
      <c r="K98" s="4">
        <f>SUM($J$2:J98)</f>
        <v>0.95824267486967185</v>
      </c>
      <c r="L98" t="str">
        <f t="shared" ref="L98:L121" si="7">IF(K98&lt;=80%,"A",IF(K98&lt;=95%,"B","C"))</f>
        <v>C</v>
      </c>
      <c r="M98">
        <f>_xlfn.XLOOKUP(I98,Terms!A:A,Terms!C:C,"")</f>
        <v>45</v>
      </c>
      <c r="N98">
        <f>IF(M98="",0,MAX(0,Settings!$B$5-M98)*F98/Settings!$B$4)</f>
        <v>49466.705882352944</v>
      </c>
      <c r="O98" s="11">
        <f>F98*_xlfn.XLOOKUP(I98,Terms!A:A,Terms!D:D,0)</f>
        <v>0</v>
      </c>
    </row>
    <row r="99" spans="1:15" x14ac:dyDescent="0.2">
      <c r="A99" t="s">
        <v>262</v>
      </c>
      <c r="B99" t="s">
        <v>263</v>
      </c>
      <c r="C99" t="s">
        <v>17</v>
      </c>
      <c r="D99" t="s">
        <v>70</v>
      </c>
      <c r="E99" t="s">
        <v>58</v>
      </c>
      <c r="F99" s="2">
        <v>832309</v>
      </c>
      <c r="G99" s="3">
        <v>100</v>
      </c>
      <c r="H99" s="2">
        <v>4103</v>
      </c>
      <c r="I99" t="s">
        <v>30</v>
      </c>
      <c r="J99" s="7">
        <f t="shared" si="6"/>
        <v>2.8489272131955348E-3</v>
      </c>
      <c r="K99" s="4">
        <f>SUM($J$2:J99)</f>
        <v>0.96109160208286737</v>
      </c>
      <c r="L99" t="str">
        <f t="shared" si="7"/>
        <v>C</v>
      </c>
      <c r="M99">
        <f>_xlfn.XLOOKUP(I99,Terms!A:A,Terms!C:C,"")</f>
        <v>30</v>
      </c>
      <c r="N99">
        <f>IF(M99="",0,MAX(0,Settings!$B$5-M99)*F99/Settings!$B$4)</f>
        <v>97918.705882352937</v>
      </c>
      <c r="O99" s="11">
        <f>F99*_xlfn.XLOOKUP(I99,Terms!A:A,Terms!D:D,0)</f>
        <v>0</v>
      </c>
    </row>
    <row r="100" spans="1:15" x14ac:dyDescent="0.2">
      <c r="A100" t="s">
        <v>138</v>
      </c>
      <c r="B100" t="s">
        <v>139</v>
      </c>
      <c r="C100" t="s">
        <v>11</v>
      </c>
      <c r="D100" t="s">
        <v>53</v>
      </c>
      <c r="E100" t="s">
        <v>24</v>
      </c>
      <c r="F100" s="2">
        <v>779982</v>
      </c>
      <c r="G100" s="3">
        <v>83.3</v>
      </c>
      <c r="H100" s="2">
        <v>303</v>
      </c>
      <c r="I100" t="s">
        <v>45</v>
      </c>
      <c r="J100" s="7">
        <f t="shared" si="6"/>
        <v>2.6698160726397044E-3</v>
      </c>
      <c r="K100" s="4">
        <f>SUM($J$2:J100)</f>
        <v>0.96376141815550709</v>
      </c>
      <c r="L100" t="str">
        <f t="shared" si="7"/>
        <v>C</v>
      </c>
      <c r="M100">
        <f>_xlfn.XLOOKUP(I100,Terms!A:A,Terms!C:C,"")</f>
        <v>45</v>
      </c>
      <c r="N100">
        <f>IF(M100="",0,MAX(0,Settings!$B$5-M100)*F100/Settings!$B$4)</f>
        <v>45881.294117647056</v>
      </c>
      <c r="O100" s="11">
        <f>F100*_xlfn.XLOOKUP(I100,Terms!A:A,Terms!D:D,0)</f>
        <v>0</v>
      </c>
    </row>
    <row r="101" spans="1:15" x14ac:dyDescent="0.2">
      <c r="A101" t="s">
        <v>174</v>
      </c>
      <c r="B101" t="s">
        <v>175</v>
      </c>
      <c r="C101" t="s">
        <v>63</v>
      </c>
      <c r="D101" t="s">
        <v>39</v>
      </c>
      <c r="E101" t="s">
        <v>13</v>
      </c>
      <c r="F101" s="2">
        <v>706783</v>
      </c>
      <c r="G101" s="3">
        <v>100</v>
      </c>
      <c r="H101" s="2">
        <v>110</v>
      </c>
      <c r="I101" t="s">
        <v>30</v>
      </c>
      <c r="J101" s="7">
        <f t="shared" si="6"/>
        <v>2.4192617435639645E-3</v>
      </c>
      <c r="K101" s="4">
        <f>SUM($J$2:J101)</f>
        <v>0.96618067989907108</v>
      </c>
      <c r="L101" t="str">
        <f t="shared" si="7"/>
        <v>C</v>
      </c>
      <c r="M101">
        <f>_xlfn.XLOOKUP(I101,Terms!A:A,Terms!C:C,"")</f>
        <v>30</v>
      </c>
      <c r="N101">
        <f>IF(M101="",0,MAX(0,Settings!$B$5-M101)*F101/Settings!$B$4)</f>
        <v>83150.941176470587</v>
      </c>
      <c r="O101" s="11">
        <f>F101*_xlfn.XLOOKUP(I101,Terms!A:A,Terms!D:D,0)</f>
        <v>0</v>
      </c>
    </row>
    <row r="102" spans="1:15" x14ac:dyDescent="0.2">
      <c r="A102" t="s">
        <v>122</v>
      </c>
      <c r="B102" t="s">
        <v>123</v>
      </c>
      <c r="C102" t="s">
        <v>11</v>
      </c>
      <c r="D102" t="s">
        <v>53</v>
      </c>
      <c r="E102" t="s">
        <v>58</v>
      </c>
      <c r="F102" s="2">
        <v>691913</v>
      </c>
      <c r="G102" s="3">
        <v>90.9</v>
      </c>
      <c r="H102" s="2">
        <v>1193</v>
      </c>
      <c r="I102" t="s">
        <v>45</v>
      </c>
      <c r="J102" s="7">
        <f t="shared" si="6"/>
        <v>2.3683629215396711E-3</v>
      </c>
      <c r="K102" s="4">
        <f>SUM($J$2:J102)</f>
        <v>0.96854904282061072</v>
      </c>
      <c r="L102" t="str">
        <f t="shared" si="7"/>
        <v>C</v>
      </c>
      <c r="M102">
        <f>_xlfn.XLOOKUP(I102,Terms!A:A,Terms!C:C,"")</f>
        <v>45</v>
      </c>
      <c r="N102">
        <f>IF(M102="",0,MAX(0,Settings!$B$5-M102)*F102/Settings!$B$4)</f>
        <v>40700.76470588235</v>
      </c>
      <c r="O102" s="11">
        <f>F102*_xlfn.XLOOKUP(I102,Terms!A:A,Terms!D:D,0)</f>
        <v>0</v>
      </c>
    </row>
    <row r="103" spans="1:15" x14ac:dyDescent="0.2">
      <c r="A103" t="s">
        <v>232</v>
      </c>
      <c r="B103" t="s">
        <v>233</v>
      </c>
      <c r="C103" t="s">
        <v>63</v>
      </c>
      <c r="D103" t="s">
        <v>70</v>
      </c>
      <c r="E103" t="s">
        <v>19</v>
      </c>
      <c r="F103" s="2">
        <v>659886</v>
      </c>
      <c r="G103" s="3">
        <v>75</v>
      </c>
      <c r="H103" s="2">
        <v>1143</v>
      </c>
      <c r="I103" t="s">
        <v>45</v>
      </c>
      <c r="J103" s="7">
        <f t="shared" si="6"/>
        <v>2.2587370592012687E-3</v>
      </c>
      <c r="K103" s="4">
        <f>SUM($J$2:J103)</f>
        <v>0.97080777987981204</v>
      </c>
      <c r="L103" t="str">
        <f t="shared" si="7"/>
        <v>C</v>
      </c>
      <c r="M103">
        <f>_xlfn.XLOOKUP(I103,Terms!A:A,Terms!C:C,"")</f>
        <v>45</v>
      </c>
      <c r="N103">
        <f>IF(M103="",0,MAX(0,Settings!$B$5-M103)*F103/Settings!$B$4)</f>
        <v>38816.823529411762</v>
      </c>
      <c r="O103" s="11">
        <f>F103*_xlfn.XLOOKUP(I103,Terms!A:A,Terms!D:D,0)</f>
        <v>0</v>
      </c>
    </row>
    <row r="104" spans="1:15" x14ac:dyDescent="0.2">
      <c r="A104" t="s">
        <v>124</v>
      </c>
      <c r="B104" t="s">
        <v>125</v>
      </c>
      <c r="C104" t="s">
        <v>11</v>
      </c>
      <c r="D104" t="s">
        <v>29</v>
      </c>
      <c r="E104" t="s">
        <v>58</v>
      </c>
      <c r="F104" s="2">
        <v>652473</v>
      </c>
      <c r="G104" s="3">
        <v>87.5</v>
      </c>
      <c r="H104" s="2">
        <v>616</v>
      </c>
      <c r="I104" t="s">
        <v>20</v>
      </c>
      <c r="J104" s="7">
        <f t="shared" si="6"/>
        <v>2.2333629524315252E-3</v>
      </c>
      <c r="K104" s="4">
        <f>SUM($J$2:J104)</f>
        <v>0.97304114283224352</v>
      </c>
      <c r="L104" t="str">
        <f t="shared" si="7"/>
        <v>C</v>
      </c>
      <c r="M104">
        <f>_xlfn.XLOOKUP(I104,Terms!A:A,Terms!C:C,"")</f>
        <v>60</v>
      </c>
      <c r="N104">
        <f>IF(M104="",0,MAX(0,Settings!$B$5-M104)*F104/Settings!$B$4)</f>
        <v>0</v>
      </c>
      <c r="O104" s="11">
        <f>F104*_xlfn.XLOOKUP(I104,Terms!A:A,Terms!D:D,0)</f>
        <v>0</v>
      </c>
    </row>
    <row r="105" spans="1:15" x14ac:dyDescent="0.2">
      <c r="A105" t="s">
        <v>244</v>
      </c>
      <c r="B105" t="s">
        <v>245</v>
      </c>
      <c r="C105" t="s">
        <v>63</v>
      </c>
      <c r="D105" t="s">
        <v>53</v>
      </c>
      <c r="E105" t="s">
        <v>13</v>
      </c>
      <c r="F105" s="2">
        <v>651488</v>
      </c>
      <c r="G105" s="3">
        <v>88.9</v>
      </c>
      <c r="H105" s="2">
        <v>213</v>
      </c>
      <c r="I105" t="s">
        <v>30</v>
      </c>
      <c r="J105" s="7">
        <f t="shared" si="6"/>
        <v>2.2299913761239308E-3</v>
      </c>
      <c r="K105" s="4">
        <f>SUM($J$2:J105)</f>
        <v>0.97527113420836742</v>
      </c>
      <c r="L105" t="str">
        <f t="shared" si="7"/>
        <v>C</v>
      </c>
      <c r="M105">
        <f>_xlfn.XLOOKUP(I105,Terms!A:A,Terms!C:C,"")</f>
        <v>30</v>
      </c>
      <c r="N105">
        <f>IF(M105="",0,MAX(0,Settings!$B$5-M105)*F105/Settings!$B$4)</f>
        <v>76645.647058823524</v>
      </c>
      <c r="O105" s="11">
        <f>F105*_xlfn.XLOOKUP(I105,Terms!A:A,Terms!D:D,0)</f>
        <v>0</v>
      </c>
    </row>
    <row r="106" spans="1:15" x14ac:dyDescent="0.2">
      <c r="A106" t="s">
        <v>82</v>
      </c>
      <c r="B106" t="s">
        <v>83</v>
      </c>
      <c r="C106" t="s">
        <v>11</v>
      </c>
      <c r="D106" t="s">
        <v>53</v>
      </c>
      <c r="E106" t="s">
        <v>24</v>
      </c>
      <c r="F106" s="2">
        <v>649690</v>
      </c>
      <c r="G106" s="3">
        <v>83.3</v>
      </c>
      <c r="H106" s="2">
        <v>133</v>
      </c>
      <c r="I106" t="s">
        <v>25</v>
      </c>
      <c r="J106" s="7">
        <f t="shared" si="6"/>
        <v>2.2238369657675301E-3</v>
      </c>
      <c r="K106" s="4">
        <f>SUM($J$2:J106)</f>
        <v>0.97749497117413497</v>
      </c>
      <c r="L106" t="str">
        <f t="shared" si="7"/>
        <v>C</v>
      </c>
      <c r="M106">
        <f>_xlfn.XLOOKUP(I106,Terms!A:A,Terms!C:C,"")</f>
        <v>30</v>
      </c>
      <c r="N106">
        <f>IF(M106="",0,MAX(0,Settings!$B$5-M106)*F106/Settings!$B$4)</f>
        <v>76434.117647058825</v>
      </c>
      <c r="O106" s="11">
        <f>F106*_xlfn.XLOOKUP(I106,Terms!A:A,Terms!D:D,0)</f>
        <v>12993.800000000001</v>
      </c>
    </row>
    <row r="107" spans="1:15" x14ac:dyDescent="0.2">
      <c r="A107" t="s">
        <v>270</v>
      </c>
      <c r="B107" t="s">
        <v>271</v>
      </c>
      <c r="C107" t="s">
        <v>75</v>
      </c>
      <c r="D107" t="s">
        <v>29</v>
      </c>
      <c r="E107" t="s">
        <v>13</v>
      </c>
      <c r="F107" s="2">
        <v>630560</v>
      </c>
      <c r="G107" s="3">
        <v>100</v>
      </c>
      <c r="H107" s="2">
        <v>70</v>
      </c>
      <c r="I107" t="s">
        <v>30</v>
      </c>
      <c r="J107" s="7">
        <f t="shared" si="6"/>
        <v>2.1583565040779046E-3</v>
      </c>
      <c r="K107" s="4">
        <f>SUM($J$2:J107)</f>
        <v>0.97965332767821289</v>
      </c>
      <c r="L107" t="str">
        <f t="shared" si="7"/>
        <v>C</v>
      </c>
      <c r="M107">
        <f>_xlfn.XLOOKUP(I107,Terms!A:A,Terms!C:C,"")</f>
        <v>30</v>
      </c>
      <c r="N107">
        <f>IF(M107="",0,MAX(0,Settings!$B$5-M107)*F107/Settings!$B$4)</f>
        <v>74183.529411764699</v>
      </c>
      <c r="O107" s="11">
        <f>F107*_xlfn.XLOOKUP(I107,Terms!A:A,Terms!D:D,0)</f>
        <v>0</v>
      </c>
    </row>
    <row r="108" spans="1:15" x14ac:dyDescent="0.2">
      <c r="A108" t="s">
        <v>222</v>
      </c>
      <c r="B108" t="s">
        <v>223</v>
      </c>
      <c r="C108" t="s">
        <v>11</v>
      </c>
      <c r="D108" t="s">
        <v>70</v>
      </c>
      <c r="E108" t="s">
        <v>19</v>
      </c>
      <c r="F108" s="2">
        <v>623639</v>
      </c>
      <c r="G108" s="3">
        <v>66.7</v>
      </c>
      <c r="H108" s="2">
        <v>602</v>
      </c>
      <c r="I108" t="s">
        <v>20</v>
      </c>
      <c r="J108" s="7">
        <f t="shared" si="6"/>
        <v>2.1346664740019036E-3</v>
      </c>
      <c r="K108" s="4">
        <f>SUM($J$2:J108)</f>
        <v>0.98178799415221485</v>
      </c>
      <c r="L108" t="str">
        <f t="shared" si="7"/>
        <v>C</v>
      </c>
      <c r="M108">
        <f>_xlfn.XLOOKUP(I108,Terms!A:A,Terms!C:C,"")</f>
        <v>60</v>
      </c>
      <c r="N108">
        <f>IF(M108="",0,MAX(0,Settings!$B$5-M108)*F108/Settings!$B$4)</f>
        <v>0</v>
      </c>
      <c r="O108" s="11">
        <f>F108*_xlfn.XLOOKUP(I108,Terms!A:A,Terms!D:D,0)</f>
        <v>0</v>
      </c>
    </row>
    <row r="109" spans="1:15" x14ac:dyDescent="0.2">
      <c r="A109" t="s">
        <v>66</v>
      </c>
      <c r="B109" t="s">
        <v>67</v>
      </c>
      <c r="C109" t="s">
        <v>11</v>
      </c>
      <c r="D109" t="s">
        <v>23</v>
      </c>
      <c r="E109" t="s">
        <v>24</v>
      </c>
      <c r="F109" s="2">
        <v>543136</v>
      </c>
      <c r="G109" s="3">
        <v>80</v>
      </c>
      <c r="H109" s="2">
        <v>0</v>
      </c>
      <c r="I109" t="s">
        <v>45</v>
      </c>
      <c r="J109" s="7">
        <f t="shared" si="6"/>
        <v>1.8591111364483265E-3</v>
      </c>
      <c r="K109" s="4">
        <f>SUM($J$2:J109)</f>
        <v>0.98364710528866317</v>
      </c>
      <c r="L109" t="str">
        <f t="shared" si="7"/>
        <v>C</v>
      </c>
      <c r="M109">
        <f>_xlfn.XLOOKUP(I109,Terms!A:A,Terms!C:C,"")</f>
        <v>45</v>
      </c>
      <c r="N109">
        <f>IF(M109="",0,MAX(0,Settings!$B$5-M109)*F109/Settings!$B$4)</f>
        <v>31949.176470588234</v>
      </c>
      <c r="O109" s="11">
        <f>F109*_xlfn.XLOOKUP(I109,Terms!A:A,Terms!D:D,0)</f>
        <v>0</v>
      </c>
    </row>
    <row r="110" spans="1:15" x14ac:dyDescent="0.2">
      <c r="A110" t="s">
        <v>160</v>
      </c>
      <c r="B110" t="s">
        <v>161</v>
      </c>
      <c r="C110" t="s">
        <v>11</v>
      </c>
      <c r="D110" t="s">
        <v>34</v>
      </c>
      <c r="E110" t="s">
        <v>24</v>
      </c>
      <c r="F110" s="2">
        <v>535293</v>
      </c>
      <c r="G110" s="3">
        <v>71.400000000000006</v>
      </c>
      <c r="H110" s="2">
        <v>93</v>
      </c>
      <c r="I110" t="s">
        <v>30</v>
      </c>
      <c r="J110" s="7">
        <f t="shared" si="6"/>
        <v>1.8322651740316127E-3</v>
      </c>
      <c r="K110" s="4">
        <f>SUM($J$2:J110)</f>
        <v>0.98547937046269474</v>
      </c>
      <c r="L110" t="str">
        <f t="shared" si="7"/>
        <v>C</v>
      </c>
      <c r="M110">
        <f>_xlfn.XLOOKUP(I110,Terms!A:A,Terms!C:C,"")</f>
        <v>30</v>
      </c>
      <c r="N110">
        <f>IF(M110="",0,MAX(0,Settings!$B$5-M110)*F110/Settings!$B$4)</f>
        <v>62975.647058823532</v>
      </c>
      <c r="O110" s="11">
        <f>F110*_xlfn.XLOOKUP(I110,Terms!A:A,Terms!D:D,0)</f>
        <v>0</v>
      </c>
    </row>
    <row r="111" spans="1:15" x14ac:dyDescent="0.2">
      <c r="A111" t="s">
        <v>240</v>
      </c>
      <c r="B111" t="s">
        <v>241</v>
      </c>
      <c r="C111" t="s">
        <v>11</v>
      </c>
      <c r="D111" t="s">
        <v>39</v>
      </c>
      <c r="E111" t="s">
        <v>58</v>
      </c>
      <c r="F111" s="2">
        <v>507867</v>
      </c>
      <c r="G111" s="3">
        <v>90.9</v>
      </c>
      <c r="H111" s="2">
        <v>5338</v>
      </c>
      <c r="I111" t="s">
        <v>30</v>
      </c>
      <c r="J111" s="7">
        <f t="shared" si="6"/>
        <v>1.7383881671157908E-3</v>
      </c>
      <c r="K111" s="4">
        <f>SUM($J$2:J111)</f>
        <v>0.98721775862981054</v>
      </c>
      <c r="L111" t="str">
        <f t="shared" si="7"/>
        <v>C</v>
      </c>
      <c r="M111">
        <f>_xlfn.XLOOKUP(I111,Terms!A:A,Terms!C:C,"")</f>
        <v>30</v>
      </c>
      <c r="N111">
        <f>IF(M111="",0,MAX(0,Settings!$B$5-M111)*F111/Settings!$B$4)</f>
        <v>59749.058823529413</v>
      </c>
      <c r="O111" s="11">
        <f>F111*_xlfn.XLOOKUP(I111,Terms!A:A,Terms!D:D,0)</f>
        <v>0</v>
      </c>
    </row>
    <row r="112" spans="1:15" x14ac:dyDescent="0.2">
      <c r="A112" t="s">
        <v>242</v>
      </c>
      <c r="B112" t="s">
        <v>243</v>
      </c>
      <c r="C112" t="s">
        <v>11</v>
      </c>
      <c r="D112" t="s">
        <v>34</v>
      </c>
      <c r="E112" t="s">
        <v>13</v>
      </c>
      <c r="F112" s="2">
        <v>426144</v>
      </c>
      <c r="G112" s="3">
        <v>100</v>
      </c>
      <c r="H112" s="2">
        <v>0</v>
      </c>
      <c r="I112" t="s">
        <v>45</v>
      </c>
      <c r="J112" s="7">
        <f t="shared" si="6"/>
        <v>1.4586568670289497E-3</v>
      </c>
      <c r="K112" s="4">
        <f>SUM($J$2:J112)</f>
        <v>0.98867641549683949</v>
      </c>
      <c r="L112" t="str">
        <f t="shared" si="7"/>
        <v>C</v>
      </c>
      <c r="M112">
        <f>_xlfn.XLOOKUP(I112,Terms!A:A,Terms!C:C,"")</f>
        <v>45</v>
      </c>
      <c r="N112">
        <f>IF(M112="",0,MAX(0,Settings!$B$5-M112)*F112/Settings!$B$4)</f>
        <v>25067.294117647059</v>
      </c>
      <c r="O112" s="11">
        <f>F112*_xlfn.XLOOKUP(I112,Terms!A:A,Terms!D:D,0)</f>
        <v>0</v>
      </c>
    </row>
    <row r="113" spans="1:15" x14ac:dyDescent="0.2">
      <c r="A113" t="s">
        <v>31</v>
      </c>
      <c r="B113" t="s">
        <v>32</v>
      </c>
      <c r="C113" t="s">
        <v>33</v>
      </c>
      <c r="D113" t="s">
        <v>34</v>
      </c>
      <c r="E113" t="s">
        <v>24</v>
      </c>
      <c r="F113" s="2">
        <v>420399</v>
      </c>
      <c r="G113" s="3">
        <v>83.3</v>
      </c>
      <c r="H113" s="2">
        <v>68</v>
      </c>
      <c r="I113" t="s">
        <v>25</v>
      </c>
      <c r="J113" s="7">
        <f t="shared" si="6"/>
        <v>1.4389921910014066E-3</v>
      </c>
      <c r="K113" s="4">
        <f>SUM($J$2:J113)</f>
        <v>0.9901154076878409</v>
      </c>
      <c r="L113" t="str">
        <f t="shared" si="7"/>
        <v>C</v>
      </c>
      <c r="M113">
        <f>_xlfn.XLOOKUP(I113,Terms!A:A,Terms!C:C,"")</f>
        <v>30</v>
      </c>
      <c r="N113">
        <f>IF(M113="",0,MAX(0,Settings!$B$5-M113)*F113/Settings!$B$4)</f>
        <v>49458.705882352944</v>
      </c>
      <c r="O113" s="11">
        <f>F113*_xlfn.XLOOKUP(I113,Terms!A:A,Terms!D:D,0)</f>
        <v>8407.98</v>
      </c>
    </row>
    <row r="114" spans="1:15" x14ac:dyDescent="0.2">
      <c r="A114" t="s">
        <v>112</v>
      </c>
      <c r="B114" t="s">
        <v>113</v>
      </c>
      <c r="C114" t="s">
        <v>33</v>
      </c>
      <c r="D114" t="s">
        <v>29</v>
      </c>
      <c r="E114" t="s">
        <v>13</v>
      </c>
      <c r="F114" s="2">
        <v>415296</v>
      </c>
      <c r="G114" s="3">
        <v>100</v>
      </c>
      <c r="H114" s="2">
        <v>217</v>
      </c>
      <c r="I114" t="s">
        <v>45</v>
      </c>
      <c r="J114" s="7">
        <f t="shared" si="6"/>
        <v>1.421525029683991E-3</v>
      </c>
      <c r="K114" s="4">
        <f>SUM($J$2:J114)</f>
        <v>0.99153693271752485</v>
      </c>
      <c r="L114" t="str">
        <f t="shared" si="7"/>
        <v>C</v>
      </c>
      <c r="M114">
        <f>_xlfn.XLOOKUP(I114,Terms!A:A,Terms!C:C,"")</f>
        <v>45</v>
      </c>
      <c r="N114">
        <f>IF(M114="",0,MAX(0,Settings!$B$5-M114)*F114/Settings!$B$4)</f>
        <v>24429.176470588234</v>
      </c>
      <c r="O114" s="11">
        <f>F114*_xlfn.XLOOKUP(I114,Terms!A:A,Terms!D:D,0)</f>
        <v>0</v>
      </c>
    </row>
    <row r="115" spans="1:15" x14ac:dyDescent="0.2">
      <c r="A115" t="s">
        <v>224</v>
      </c>
      <c r="B115" t="s">
        <v>225</v>
      </c>
      <c r="C115" t="s">
        <v>75</v>
      </c>
      <c r="D115" t="s">
        <v>18</v>
      </c>
      <c r="E115" t="s">
        <v>13</v>
      </c>
      <c r="F115" s="2">
        <v>408703</v>
      </c>
      <c r="G115" s="3">
        <v>100</v>
      </c>
      <c r="H115" s="2">
        <v>0</v>
      </c>
      <c r="I115" t="s">
        <v>25</v>
      </c>
      <c r="J115" s="7">
        <f t="shared" si="6"/>
        <v>1.3989577174038186E-3</v>
      </c>
      <c r="K115" s="4">
        <f>SUM($J$2:J115)</f>
        <v>0.99293589043492869</v>
      </c>
      <c r="L115" t="str">
        <f t="shared" si="7"/>
        <v>C</v>
      </c>
      <c r="M115">
        <f>_xlfn.XLOOKUP(I115,Terms!A:A,Terms!C:C,"")</f>
        <v>30</v>
      </c>
      <c r="N115">
        <f>IF(M115="",0,MAX(0,Settings!$B$5-M115)*F115/Settings!$B$4)</f>
        <v>48082.705882352944</v>
      </c>
      <c r="O115" s="11">
        <f>F115*_xlfn.XLOOKUP(I115,Terms!A:A,Terms!D:D,0)</f>
        <v>8174.06</v>
      </c>
    </row>
    <row r="116" spans="1:15" x14ac:dyDescent="0.2">
      <c r="A116" t="s">
        <v>142</v>
      </c>
      <c r="B116" t="s">
        <v>143</v>
      </c>
      <c r="C116" t="s">
        <v>17</v>
      </c>
      <c r="D116" t="s">
        <v>70</v>
      </c>
      <c r="E116" t="s">
        <v>24</v>
      </c>
      <c r="F116" s="2">
        <v>402479</v>
      </c>
      <c r="G116" s="3">
        <v>75</v>
      </c>
      <c r="H116" s="2">
        <v>0</v>
      </c>
      <c r="I116" t="s">
        <v>20</v>
      </c>
      <c r="J116" s="7">
        <f t="shared" si="6"/>
        <v>1.3776534626439528E-3</v>
      </c>
      <c r="K116" s="4">
        <f>SUM($J$2:J116)</f>
        <v>0.99431354389757265</v>
      </c>
      <c r="L116" t="str">
        <f t="shared" si="7"/>
        <v>C</v>
      </c>
      <c r="M116">
        <f>_xlfn.XLOOKUP(I116,Terms!A:A,Terms!C:C,"")</f>
        <v>60</v>
      </c>
      <c r="N116">
        <f>IF(M116="",0,MAX(0,Settings!$B$5-M116)*F116/Settings!$B$4)</f>
        <v>0</v>
      </c>
      <c r="O116" s="11">
        <f>F116*_xlfn.XLOOKUP(I116,Terms!A:A,Terms!D:D,0)</f>
        <v>0</v>
      </c>
    </row>
    <row r="117" spans="1:15" x14ac:dyDescent="0.2">
      <c r="A117" t="s">
        <v>37</v>
      </c>
      <c r="B117" t="s">
        <v>38</v>
      </c>
      <c r="C117" t="s">
        <v>17</v>
      </c>
      <c r="D117" t="s">
        <v>39</v>
      </c>
      <c r="E117" t="s">
        <v>19</v>
      </c>
      <c r="F117" s="2">
        <v>390726</v>
      </c>
      <c r="G117" s="3">
        <v>66.7</v>
      </c>
      <c r="H117" s="2">
        <v>725</v>
      </c>
      <c r="I117" t="s">
        <v>20</v>
      </c>
      <c r="J117" s="7">
        <f t="shared" si="6"/>
        <v>1.3374238826001385E-3</v>
      </c>
      <c r="K117" s="4">
        <f>SUM($J$2:J117)</f>
        <v>0.99565096778017281</v>
      </c>
      <c r="L117" t="str">
        <f t="shared" si="7"/>
        <v>C</v>
      </c>
      <c r="M117">
        <f>_xlfn.XLOOKUP(I117,Terms!A:A,Terms!C:C,"")</f>
        <v>60</v>
      </c>
      <c r="N117">
        <f>IF(M117="",0,MAX(0,Settings!$B$5-M117)*F117/Settings!$B$4)</f>
        <v>0</v>
      </c>
      <c r="O117" s="11">
        <f>F117*_xlfn.XLOOKUP(I117,Terms!A:A,Terms!D:D,0)</f>
        <v>0</v>
      </c>
    </row>
    <row r="118" spans="1:15" x14ac:dyDescent="0.2">
      <c r="A118" t="s">
        <v>248</v>
      </c>
      <c r="B118" t="s">
        <v>249</v>
      </c>
      <c r="C118" t="s">
        <v>17</v>
      </c>
      <c r="D118" t="s">
        <v>70</v>
      </c>
      <c r="E118" t="s">
        <v>13</v>
      </c>
      <c r="F118" s="2">
        <v>387605</v>
      </c>
      <c r="G118" s="3">
        <v>87.5</v>
      </c>
      <c r="H118" s="2">
        <v>0</v>
      </c>
      <c r="I118" t="s">
        <v>30</v>
      </c>
      <c r="J118" s="7">
        <f t="shared" si="6"/>
        <v>1.3267409489392224E-3</v>
      </c>
      <c r="K118" s="4">
        <f>SUM($J$2:J118)</f>
        <v>0.99697770872911207</v>
      </c>
      <c r="L118" t="str">
        <f t="shared" si="7"/>
        <v>C</v>
      </c>
      <c r="M118">
        <f>_xlfn.XLOOKUP(I118,Terms!A:A,Terms!C:C,"")</f>
        <v>30</v>
      </c>
      <c r="N118">
        <f>IF(M118="",0,MAX(0,Settings!$B$5-M118)*F118/Settings!$B$4)</f>
        <v>45600.588235294119</v>
      </c>
      <c r="O118" s="11">
        <f>F118*_xlfn.XLOOKUP(I118,Terms!A:A,Terms!D:D,0)</f>
        <v>0</v>
      </c>
    </row>
    <row r="119" spans="1:15" x14ac:dyDescent="0.2">
      <c r="A119" t="s">
        <v>256</v>
      </c>
      <c r="B119" t="s">
        <v>257</v>
      </c>
      <c r="C119" t="s">
        <v>11</v>
      </c>
      <c r="D119" t="s">
        <v>18</v>
      </c>
      <c r="E119" t="s">
        <v>13</v>
      </c>
      <c r="F119" s="2">
        <v>322426</v>
      </c>
      <c r="G119" s="3">
        <v>100</v>
      </c>
      <c r="H119" s="2">
        <v>128</v>
      </c>
      <c r="I119" t="s">
        <v>25</v>
      </c>
      <c r="J119" s="7">
        <f t="shared" si="6"/>
        <v>1.1036384391395306E-3</v>
      </c>
      <c r="K119" s="4">
        <f>SUM($J$2:J119)</f>
        <v>0.99808134716825159</v>
      </c>
      <c r="L119" t="str">
        <f t="shared" si="7"/>
        <v>C</v>
      </c>
      <c r="M119">
        <f>_xlfn.XLOOKUP(I119,Terms!A:A,Terms!C:C,"")</f>
        <v>30</v>
      </c>
      <c r="N119">
        <f>IF(M119="",0,MAX(0,Settings!$B$5-M119)*F119/Settings!$B$4)</f>
        <v>37932.470588235294</v>
      </c>
      <c r="O119" s="11">
        <f>F119*_xlfn.XLOOKUP(I119,Terms!A:A,Terms!D:D,0)</f>
        <v>6448.52</v>
      </c>
    </row>
    <row r="120" spans="1:15" x14ac:dyDescent="0.2">
      <c r="A120" t="s">
        <v>140</v>
      </c>
      <c r="B120" t="s">
        <v>141</v>
      </c>
      <c r="C120" t="s">
        <v>63</v>
      </c>
      <c r="D120" t="s">
        <v>70</v>
      </c>
      <c r="E120" t="s">
        <v>24</v>
      </c>
      <c r="F120" s="2">
        <v>288832</v>
      </c>
      <c r="G120" s="3">
        <v>37.5</v>
      </c>
      <c r="H120" s="2">
        <v>500</v>
      </c>
      <c r="I120" t="s">
        <v>45</v>
      </c>
      <c r="J120" s="7">
        <f t="shared" si="6"/>
        <v>9.8864886098996027E-4</v>
      </c>
      <c r="K120" s="4">
        <f>SUM($J$2:J120)</f>
        <v>0.99906999602924151</v>
      </c>
      <c r="L120" t="str">
        <f t="shared" si="7"/>
        <v>C</v>
      </c>
      <c r="M120">
        <f>_xlfn.XLOOKUP(I120,Terms!A:A,Terms!C:C,"")</f>
        <v>45</v>
      </c>
      <c r="N120">
        <f>IF(M120="",0,MAX(0,Settings!$B$5-M120)*F120/Settings!$B$4)</f>
        <v>16990.117647058825</v>
      </c>
      <c r="O120" s="11">
        <f>F120*_xlfn.XLOOKUP(I120,Terms!A:A,Terms!D:D,0)</f>
        <v>0</v>
      </c>
    </row>
    <row r="121" spans="1:15" x14ac:dyDescent="0.2">
      <c r="A121" t="s">
        <v>182</v>
      </c>
      <c r="B121" t="s">
        <v>183</v>
      </c>
      <c r="C121" t="s">
        <v>11</v>
      </c>
      <c r="D121" t="s">
        <v>34</v>
      </c>
      <c r="E121" t="s">
        <v>13</v>
      </c>
      <c r="F121" s="2">
        <v>271699</v>
      </c>
      <c r="G121" s="3">
        <v>100</v>
      </c>
      <c r="H121" s="2">
        <v>192</v>
      </c>
      <c r="I121" t="s">
        <v>30</v>
      </c>
      <c r="J121" s="7">
        <f t="shared" si="6"/>
        <v>9.3000397075847273E-4</v>
      </c>
      <c r="K121" s="4">
        <f>SUM($J$2:J121)</f>
        <v>1</v>
      </c>
      <c r="L121" t="str">
        <f t="shared" si="7"/>
        <v>C</v>
      </c>
      <c r="M121">
        <f>_xlfn.XLOOKUP(I121,Terms!A:A,Terms!C:C,"")</f>
        <v>30</v>
      </c>
      <c r="N121">
        <f>IF(M121="",0,MAX(0,Settings!$B$5-M121)*F121/Settings!$B$4)</f>
        <v>31964.588235294119</v>
      </c>
      <c r="O121" s="11">
        <f>F121*_xlfn.XLOOKUP(I121,Terms!A:A,Terms!D:D,0)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C0F8-9F96-4F47-B62A-6FDD67704BE5}">
  <dimension ref="A1:F11"/>
  <sheetViews>
    <sheetView tabSelected="1" workbookViewId="0">
      <selection activeCell="E24" sqref="E24"/>
    </sheetView>
  </sheetViews>
  <sheetFormatPr baseColWidth="10" defaultRowHeight="15" x14ac:dyDescent="0.2"/>
  <cols>
    <col min="1" max="1" width="30.1640625" customWidth="1"/>
    <col min="2" max="2" width="17" customWidth="1"/>
    <col min="4" max="4" width="22.6640625" bestFit="1" customWidth="1"/>
    <col min="5" max="5" width="15.83203125" bestFit="1" customWidth="1"/>
    <col min="6" max="6" width="17" bestFit="1" customWidth="1"/>
  </cols>
  <sheetData>
    <row r="1" spans="1:6" x14ac:dyDescent="0.2">
      <c r="A1" t="s">
        <v>297</v>
      </c>
      <c r="B1" t="s">
        <v>298</v>
      </c>
      <c r="D1" s="8" t="s">
        <v>303</v>
      </c>
      <c r="E1" t="s">
        <v>305</v>
      </c>
      <c r="F1" t="s">
        <v>306</v>
      </c>
    </row>
    <row r="2" spans="1:6" x14ac:dyDescent="0.2">
      <c r="A2" t="s">
        <v>299</v>
      </c>
      <c r="B2">
        <f>COUNTIF(Suppliers!L:L,A2)</f>
        <v>60</v>
      </c>
      <c r="D2" s="9" t="s">
        <v>19</v>
      </c>
      <c r="E2" s="2">
        <v>75367089</v>
      </c>
      <c r="F2" s="10">
        <v>0.25797552451244654</v>
      </c>
    </row>
    <row r="3" spans="1:6" x14ac:dyDescent="0.2">
      <c r="A3" t="s">
        <v>300</v>
      </c>
      <c r="B3">
        <f>COUNTIF(Suppliers!L:L,A3)</f>
        <v>34</v>
      </c>
      <c r="D3" s="9" t="s">
        <v>24</v>
      </c>
      <c r="E3" s="2">
        <v>60047233</v>
      </c>
      <c r="F3" s="10">
        <v>0.20553688133949408</v>
      </c>
    </row>
    <row r="4" spans="1:6" x14ac:dyDescent="0.2">
      <c r="A4" t="s">
        <v>301</v>
      </c>
      <c r="B4">
        <f>COUNTIF(Suppliers!L:L,A4)</f>
        <v>26</v>
      </c>
      <c r="D4" s="9" t="s">
        <v>58</v>
      </c>
      <c r="E4" s="2">
        <v>50718474</v>
      </c>
      <c r="F4" s="10">
        <v>0.17360528456420657</v>
      </c>
    </row>
    <row r="5" spans="1:6" x14ac:dyDescent="0.2">
      <c r="A5" t="s">
        <v>302</v>
      </c>
      <c r="B5">
        <f>SUM(B2:B4)</f>
        <v>120</v>
      </c>
      <c r="D5" s="9" t="s">
        <v>13</v>
      </c>
      <c r="E5" s="2">
        <v>15541762</v>
      </c>
      <c r="F5" s="10">
        <v>5.3198209682711904E-2</v>
      </c>
    </row>
    <row r="6" spans="1:6" x14ac:dyDescent="0.2">
      <c r="D6" s="9" t="s">
        <v>44</v>
      </c>
      <c r="E6" s="2">
        <v>90473657</v>
      </c>
      <c r="F6" s="10">
        <v>0.30968409990114093</v>
      </c>
    </row>
    <row r="7" spans="1:6" x14ac:dyDescent="0.2">
      <c r="D7" s="9" t="s">
        <v>304</v>
      </c>
      <c r="E7" s="2">
        <v>292148215</v>
      </c>
      <c r="F7" s="10">
        <v>1</v>
      </c>
    </row>
    <row r="8" spans="1:6" x14ac:dyDescent="0.2">
      <c r="A8" t="s">
        <v>309</v>
      </c>
      <c r="B8" s="12">
        <f>SUM(Suppliers!N:N)</f>
        <v>18039476.176470581</v>
      </c>
    </row>
    <row r="9" spans="1:6" x14ac:dyDescent="0.2">
      <c r="A9" t="s">
        <v>310</v>
      </c>
      <c r="B9" s="12">
        <f>SUM(Suppliers!O:O)</f>
        <v>1154389.5800000003</v>
      </c>
    </row>
    <row r="10" spans="1:6" x14ac:dyDescent="0.2">
      <c r="A10" t="s">
        <v>311</v>
      </c>
      <c r="B10">
        <f>COUNTIF(Suppliers!I:I,"missing")</f>
        <v>4</v>
      </c>
    </row>
    <row r="11" spans="1:6" ht="16" x14ac:dyDescent="0.25">
      <c r="A11" t="s">
        <v>312</v>
      </c>
      <c r="B11" s="13">
        <f>SUMIF(Suppliers!I:I,"missing",Suppliers!F:F)</f>
        <v>12687450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cols>
    <col min="1" max="1" width="8" customWidth="1"/>
    <col min="2" max="2" width="20" customWidth="1"/>
    <col min="3" max="3" width="10" customWidth="1"/>
    <col min="4" max="4" width="15" customWidth="1"/>
    <col min="5" max="5" width="14" customWidth="1"/>
  </cols>
  <sheetData>
    <row r="1" spans="1:5" ht="16" x14ac:dyDescent="0.2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</row>
    <row r="2" spans="1:5" x14ac:dyDescent="0.2">
      <c r="A2" t="s">
        <v>30</v>
      </c>
      <c r="B2" t="s">
        <v>279</v>
      </c>
      <c r="C2">
        <v>30</v>
      </c>
      <c r="D2" s="4">
        <v>0</v>
      </c>
      <c r="E2">
        <v>0</v>
      </c>
    </row>
    <row r="3" spans="1:5" x14ac:dyDescent="0.2">
      <c r="A3" t="s">
        <v>45</v>
      </c>
      <c r="B3" t="s">
        <v>280</v>
      </c>
      <c r="C3">
        <v>45</v>
      </c>
      <c r="D3" s="4">
        <v>0</v>
      </c>
      <c r="E3">
        <v>0</v>
      </c>
    </row>
    <row r="4" spans="1:5" x14ac:dyDescent="0.2">
      <c r="A4" t="s">
        <v>20</v>
      </c>
      <c r="B4" t="s">
        <v>281</v>
      </c>
      <c r="C4">
        <v>60</v>
      </c>
      <c r="D4" s="4">
        <v>0</v>
      </c>
      <c r="E4">
        <v>0</v>
      </c>
    </row>
    <row r="5" spans="1:5" x14ac:dyDescent="0.2">
      <c r="A5" t="s">
        <v>25</v>
      </c>
      <c r="B5" t="s">
        <v>282</v>
      </c>
      <c r="C5">
        <v>30</v>
      </c>
      <c r="D5" s="4">
        <v>0.02</v>
      </c>
      <c r="E5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  <col min="3" max="3" width="48" customWidth="1"/>
  </cols>
  <sheetData>
    <row r="1" spans="1:3" ht="16" x14ac:dyDescent="0.2">
      <c r="A1" s="1" t="s">
        <v>283</v>
      </c>
      <c r="B1" s="1" t="s">
        <v>284</v>
      </c>
      <c r="C1" s="1" t="s">
        <v>285</v>
      </c>
    </row>
    <row r="2" spans="1:3" x14ac:dyDescent="0.2">
      <c r="A2" t="s">
        <v>286</v>
      </c>
      <c r="B2" s="5">
        <v>46027</v>
      </c>
      <c r="C2" t="s">
        <v>287</v>
      </c>
    </row>
    <row r="3" spans="1:3" x14ac:dyDescent="0.2">
      <c r="A3" t="s">
        <v>288</v>
      </c>
      <c r="B3" s="5">
        <v>46281</v>
      </c>
    </row>
    <row r="4" spans="1:3" x14ac:dyDescent="0.2">
      <c r="A4" t="s">
        <v>289</v>
      </c>
      <c r="B4">
        <v>255</v>
      </c>
      <c r="C4" t="s">
        <v>290</v>
      </c>
    </row>
    <row r="5" spans="1:3" x14ac:dyDescent="0.2">
      <c r="A5" t="s">
        <v>291</v>
      </c>
      <c r="B5">
        <v>60</v>
      </c>
      <c r="C5" t="s">
        <v>292</v>
      </c>
    </row>
    <row r="7" spans="1:3" x14ac:dyDescent="0.2">
      <c r="A7" s="6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</vt:lpstr>
      <vt:lpstr>Results</vt:lpstr>
      <vt:lpstr>Terms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nurdanikbals5@gmail.com</cp:lastModifiedBy>
  <dcterms:created xsi:type="dcterms:W3CDTF">2026-10-09T16:52:51Z</dcterms:created>
  <dcterms:modified xsi:type="dcterms:W3CDTF">2026-10-25T16:20:57Z</dcterms:modified>
</cp:coreProperties>
</file>