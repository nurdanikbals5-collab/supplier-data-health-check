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E9B97F94-08BF-8B4F-BA3C-1F4F66E5B685}" xr6:coauthVersionLast="47" xr6:coauthVersionMax="47" xr10:uidLastSave="{00000000-0000-0000-0000-000000000000}"/>
  <bookViews>
    <workbookView xWindow="0" yWindow="500" windowWidth="28800" windowHeight="16280" activeTab="1" xr2:uid="{00000000-000D-0000-FFFF-FFFF00000000}"/>
  </bookViews>
  <sheets>
    <sheet name="Suppliers" sheetId="1" r:id="rId1"/>
    <sheet name="Results" sheetId="4" r:id="rId2"/>
    <sheet name="Terms" sheetId="2" r:id="rId3"/>
    <sheet name="Setting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3" i="4"/>
  <c r="B4" i="4"/>
  <c r="B2" i="4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K116" i="1"/>
  <c r="J2" i="1"/>
  <c r="K2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K20" i="1" l="1"/>
  <c r="K56" i="1"/>
  <c r="K72" i="1"/>
  <c r="K88" i="1"/>
  <c r="K100" i="1"/>
  <c r="K16" i="1"/>
  <c r="K28" i="1"/>
  <c r="K36" i="1"/>
  <c r="K44" i="1"/>
  <c r="K52" i="1"/>
  <c r="K64" i="1"/>
  <c r="K76" i="1"/>
  <c r="K84" i="1"/>
  <c r="K96" i="1"/>
  <c r="K8" i="1"/>
  <c r="K12" i="1"/>
  <c r="K24" i="1"/>
  <c r="K32" i="1"/>
  <c r="K40" i="1"/>
  <c r="K48" i="1"/>
  <c r="K60" i="1"/>
  <c r="K68" i="1"/>
  <c r="K80" i="1"/>
  <c r="K92" i="1"/>
  <c r="K11" i="1"/>
  <c r="K112" i="1"/>
  <c r="K108" i="1"/>
  <c r="K120" i="1"/>
  <c r="K104" i="1"/>
  <c r="K115" i="1"/>
  <c r="K107" i="1"/>
  <c r="K99" i="1"/>
  <c r="K91" i="1"/>
  <c r="K87" i="1"/>
  <c r="K79" i="1"/>
  <c r="K71" i="1"/>
  <c r="K67" i="1"/>
  <c r="K59" i="1"/>
  <c r="K51" i="1"/>
  <c r="K43" i="1"/>
  <c r="K35" i="1"/>
  <c r="K27" i="1"/>
  <c r="K23" i="1"/>
  <c r="K19" i="1"/>
  <c r="K15" i="1"/>
  <c r="K7" i="1"/>
  <c r="K118" i="1"/>
  <c r="K114" i="1"/>
  <c r="K110" i="1"/>
  <c r="K106" i="1"/>
  <c r="K102" i="1"/>
  <c r="K98" i="1"/>
  <c r="K94" i="1"/>
  <c r="K90" i="1"/>
  <c r="K86" i="1"/>
  <c r="K82" i="1"/>
  <c r="K78" i="1"/>
  <c r="K74" i="1"/>
  <c r="K70" i="1"/>
  <c r="K66" i="1"/>
  <c r="K62" i="1"/>
  <c r="K58" i="1"/>
  <c r="K54" i="1"/>
  <c r="K50" i="1"/>
  <c r="K46" i="1"/>
  <c r="K42" i="1"/>
  <c r="K38" i="1"/>
  <c r="K34" i="1"/>
  <c r="K30" i="1"/>
  <c r="K26" i="1"/>
  <c r="K22" i="1"/>
  <c r="K18" i="1"/>
  <c r="K14" i="1"/>
  <c r="K10" i="1"/>
  <c r="K6" i="1"/>
  <c r="K121" i="1"/>
  <c r="K117" i="1"/>
  <c r="K113" i="1"/>
  <c r="K109" i="1"/>
  <c r="K105" i="1"/>
  <c r="K101" i="1"/>
  <c r="K97" i="1"/>
  <c r="K93" i="1"/>
  <c r="K89" i="1"/>
  <c r="K85" i="1"/>
  <c r="K81" i="1"/>
  <c r="K77" i="1"/>
  <c r="K73" i="1"/>
  <c r="K69" i="1"/>
  <c r="K65" i="1"/>
  <c r="K61" i="1"/>
  <c r="K57" i="1"/>
  <c r="K53" i="1"/>
  <c r="K49" i="1"/>
  <c r="K45" i="1"/>
  <c r="K41" i="1"/>
  <c r="K37" i="1"/>
  <c r="K33" i="1"/>
  <c r="K29" i="1"/>
  <c r="K25" i="1"/>
  <c r="K21" i="1"/>
  <c r="K17" i="1"/>
  <c r="K13" i="1"/>
  <c r="K9" i="1"/>
  <c r="K5" i="1"/>
  <c r="K4" i="1"/>
  <c r="K119" i="1"/>
  <c r="K111" i="1"/>
  <c r="K103" i="1"/>
  <c r="K95" i="1"/>
  <c r="K83" i="1"/>
  <c r="K75" i="1"/>
  <c r="K63" i="1"/>
  <c r="K55" i="1"/>
  <c r="K47" i="1"/>
  <c r="K39" i="1"/>
  <c r="K31" i="1"/>
  <c r="K3" i="1"/>
</calcChain>
</file>

<file path=xl/sharedStrings.xml><?xml version="1.0" encoding="utf-8"?>
<sst xmlns="http://schemas.openxmlformats.org/spreadsheetml/2006/main" count="762" uniqueCount="303">
  <si>
    <t>Golden ID</t>
  </si>
  <si>
    <t>Supplier</t>
  </si>
  <si>
    <t>Country</t>
  </si>
  <si>
    <t>Commodity</t>
  </si>
  <si>
    <t>Segment (M2)</t>
  </si>
  <si>
    <t>Spend (EUR)</t>
  </si>
  <si>
    <t>OTD %</t>
  </si>
  <si>
    <t>PPM</t>
  </si>
  <si>
    <t>Payment term</t>
  </si>
  <si>
    <t>G0001</t>
  </si>
  <si>
    <t>Deltaplast GmbH</t>
  </si>
  <si>
    <t>DE</t>
  </si>
  <si>
    <t>Aluminium castings</t>
  </si>
  <si>
    <t>Reliable, lower spend</t>
  </si>
  <si>
    <t>missing</t>
  </si>
  <si>
    <t>G0002</t>
  </si>
  <si>
    <t>Ferroform s.r.o.</t>
  </si>
  <si>
    <t>CZ</t>
  </si>
  <si>
    <t>Hoses &amp; connectors</t>
  </si>
  <si>
    <t>Critical: quality and delivery</t>
  </si>
  <si>
    <t>NT60</t>
  </si>
  <si>
    <t>G0003</t>
  </si>
  <si>
    <t>Atlaswerk GmbH</t>
  </si>
  <si>
    <t>Packaging</t>
  </si>
  <si>
    <t>Delivery risk</t>
  </si>
  <si>
    <t>SK14</t>
  </si>
  <si>
    <t>G0004</t>
  </si>
  <si>
    <t>Ventoline S.r.l.</t>
  </si>
  <si>
    <t>IT</t>
  </si>
  <si>
    <t>Electronic sensors</t>
  </si>
  <si>
    <t>NT30</t>
  </si>
  <si>
    <t>G0005</t>
  </si>
  <si>
    <t>Lumenflex SAS</t>
  </si>
  <si>
    <t>FR</t>
  </si>
  <si>
    <t>Valves</t>
  </si>
  <si>
    <t>G0006</t>
  </si>
  <si>
    <t>Aquametal GmbH</t>
  </si>
  <si>
    <t>G0007</t>
  </si>
  <si>
    <t>Orbiscast s.r.o.</t>
  </si>
  <si>
    <t>Rubber seals</t>
  </si>
  <si>
    <t>G0008</t>
  </si>
  <si>
    <t>Polarparts GmbH</t>
  </si>
  <si>
    <t>G0009</t>
  </si>
  <si>
    <t>Alpentronic GmbH</t>
  </si>
  <si>
    <t>Strategic and reliable</t>
  </si>
  <si>
    <t>NT45</t>
  </si>
  <si>
    <t>G0010</t>
  </si>
  <si>
    <t>Deltaguss GmbH</t>
  </si>
  <si>
    <t>Fasteners</t>
  </si>
  <si>
    <t>G0011</t>
  </si>
  <si>
    <t>Cerrocast s.r.o.</t>
  </si>
  <si>
    <t>G0012</t>
  </si>
  <si>
    <t>Velawerk s.r.o.</t>
  </si>
  <si>
    <t>Plastic housings</t>
  </si>
  <si>
    <t>G0013</t>
  </si>
  <si>
    <t>Tauroparts S.r.l.</t>
  </si>
  <si>
    <t>G0014</t>
  </si>
  <si>
    <t>Velaparts s.r.o.</t>
  </si>
  <si>
    <t>Quality risk</t>
  </si>
  <si>
    <t>G0015</t>
  </si>
  <si>
    <t>Silberline S.r.l.</t>
  </si>
  <si>
    <t>G0016</t>
  </si>
  <si>
    <t>Lumencast GmbH</t>
  </si>
  <si>
    <t>AT</t>
  </si>
  <si>
    <t>G0017</t>
  </si>
  <si>
    <t>Novawerk GmbH</t>
  </si>
  <si>
    <t>G0018</t>
  </si>
  <si>
    <t>Voltaflex GmbH</t>
  </si>
  <si>
    <t>G0019</t>
  </si>
  <si>
    <t>Kraftguss s.r.o.</t>
  </si>
  <si>
    <t>Brazed heat exchangers</t>
  </si>
  <si>
    <t>G0020</t>
  </si>
  <si>
    <t>Boraseal GmbH</t>
  </si>
  <si>
    <t>G0021</t>
  </si>
  <si>
    <t>Velaguss Sp. z o.o.</t>
  </si>
  <si>
    <t>PL</t>
  </si>
  <si>
    <t>G0022</t>
  </si>
  <si>
    <t>Velacast GmbH</t>
  </si>
  <si>
    <t>G0023</t>
  </si>
  <si>
    <t>Taurometal Sp. z o.o.</t>
  </si>
  <si>
    <t>G0024</t>
  </si>
  <si>
    <t>NORDCAST SP. Z O.O.</t>
  </si>
  <si>
    <t>G0025</t>
  </si>
  <si>
    <t>Cerroline GmbH</t>
  </si>
  <si>
    <t>G0026</t>
  </si>
  <si>
    <t>Kappaplast GmbH</t>
  </si>
  <si>
    <t>G0027</t>
  </si>
  <si>
    <t>PRIMAFORM S.R.L.</t>
  </si>
  <si>
    <t>G0028</t>
  </si>
  <si>
    <t>Novaseal GmbH</t>
  </si>
  <si>
    <t>G0029</t>
  </si>
  <si>
    <t>Ventoseal GmbH</t>
  </si>
  <si>
    <t>G0030</t>
  </si>
  <si>
    <t>Silbermetal s.r.o.</t>
  </si>
  <si>
    <t>G0031</t>
  </si>
  <si>
    <t>Kraftseal S.r.l.</t>
  </si>
  <si>
    <t>G0032</t>
  </si>
  <si>
    <t>Voltacast GmbH</t>
  </si>
  <si>
    <t>G0033</t>
  </si>
  <si>
    <t>Primaplast S.r.l.</t>
  </si>
  <si>
    <t>G0034</t>
  </si>
  <si>
    <t>Novametal Sp. z o.o.</t>
  </si>
  <si>
    <t>G0035</t>
  </si>
  <si>
    <t>Alpenwerk GmbH</t>
  </si>
  <si>
    <t>G0036</t>
  </si>
  <si>
    <t>Atlasguss  GmbH</t>
  </si>
  <si>
    <t>G0037</t>
  </si>
  <si>
    <t>Ferroflex GmbH</t>
  </si>
  <si>
    <t>G0038</t>
  </si>
  <si>
    <t>Voltawerk GmbH</t>
  </si>
  <si>
    <t>G0039</t>
  </si>
  <si>
    <t>Ferroparts GmbH</t>
  </si>
  <si>
    <t>G0040</t>
  </si>
  <si>
    <t>Nordguss SAS</t>
  </si>
  <si>
    <t>G0041</t>
  </si>
  <si>
    <t>Atlasplast Sp. z o.o.</t>
  </si>
  <si>
    <t>G0042</t>
  </si>
  <si>
    <t>Tauroform Sp. z o.o.</t>
  </si>
  <si>
    <t>G0043</t>
  </si>
  <si>
    <t>Cerrowerk Sp. z o.o.</t>
  </si>
  <si>
    <t>G0044</t>
  </si>
  <si>
    <t>Ventoplast GmbH</t>
  </si>
  <si>
    <t>G0045</t>
  </si>
  <si>
    <t>Novaform GmbH</t>
  </si>
  <si>
    <t>G0046</t>
  </si>
  <si>
    <t>Nordline GmbH</t>
  </si>
  <si>
    <t>G0047</t>
  </si>
  <si>
    <t>Lumenparts GmbH</t>
  </si>
  <si>
    <t>G0048</t>
  </si>
  <si>
    <t>Ferrocast GmbH</t>
  </si>
  <si>
    <t>G0049</t>
  </si>
  <si>
    <t>Novaline GmbH</t>
  </si>
  <si>
    <t>G0050</t>
  </si>
  <si>
    <t>Atlasflex GmbH</t>
  </si>
  <si>
    <t>G0051</t>
  </si>
  <si>
    <t>Voltaplast GmbH</t>
  </si>
  <si>
    <t>G0052</t>
  </si>
  <si>
    <t>Krafttec GmbH</t>
  </si>
  <si>
    <t>G0053</t>
  </si>
  <si>
    <t>Lumenform GmbH</t>
  </si>
  <si>
    <t>G0054</t>
  </si>
  <si>
    <t>Terratronic GmbH</t>
  </si>
  <si>
    <t>G0055</t>
  </si>
  <si>
    <t>Atlasform s.r.o.</t>
  </si>
  <si>
    <t>G0056</t>
  </si>
  <si>
    <t>Deltaform Sp. z o.o.</t>
  </si>
  <si>
    <t>G0057</t>
  </si>
  <si>
    <t>Ventotronic GmbH</t>
  </si>
  <si>
    <t>G0058</t>
  </si>
  <si>
    <t>Boraline GmbH</t>
  </si>
  <si>
    <t>G0059</t>
  </si>
  <si>
    <t>Alpencast Sp. z o.o.</t>
  </si>
  <si>
    <t>G0060</t>
  </si>
  <si>
    <t>Atlasparts Sp. z o.o.</t>
  </si>
  <si>
    <t>G0061</t>
  </si>
  <si>
    <t>Kraftflex s.r.o.</t>
  </si>
  <si>
    <t>G0062</t>
  </si>
  <si>
    <t>Rheinplast S.r.l.</t>
  </si>
  <si>
    <t>G0063</t>
  </si>
  <si>
    <t>Polarcast Sp. z o.o.</t>
  </si>
  <si>
    <t>G0064</t>
  </si>
  <si>
    <t>Deltacast GmbH</t>
  </si>
  <si>
    <t>G0065</t>
  </si>
  <si>
    <t>Kappaform GmbH</t>
  </si>
  <si>
    <t>G0066</t>
  </si>
  <si>
    <t>Boratronic SAS</t>
  </si>
  <si>
    <t>G0067</t>
  </si>
  <si>
    <t>Polarmetal s.r.o.</t>
  </si>
  <si>
    <t>G0068</t>
  </si>
  <si>
    <t>Deltametal Sp. z o.o.</t>
  </si>
  <si>
    <t>G0069</t>
  </si>
  <si>
    <t>Lumenwerk s.r.o.</t>
  </si>
  <si>
    <t>G0070</t>
  </si>
  <si>
    <t>Terraparts GmbH</t>
  </si>
  <si>
    <t>G0071</t>
  </si>
  <si>
    <t>Ventometal GmbH</t>
  </si>
  <si>
    <t>G0072</t>
  </si>
  <si>
    <t>Nordwerk GmbH</t>
  </si>
  <si>
    <t>G0073</t>
  </si>
  <si>
    <t>Ventoguss GmbH</t>
  </si>
  <si>
    <t>G0074</t>
  </si>
  <si>
    <t>Alpenguss SAS</t>
  </si>
  <si>
    <t>G0075</t>
  </si>
  <si>
    <t>Silberguss GmbH</t>
  </si>
  <si>
    <t>G0076</t>
  </si>
  <si>
    <t>Aquatronic GmbH</t>
  </si>
  <si>
    <t>G0077</t>
  </si>
  <si>
    <t>Orbisparts GmbH</t>
  </si>
  <si>
    <t>G0078</t>
  </si>
  <si>
    <t>Velaseal s.r.o.</t>
  </si>
  <si>
    <t>G0079</t>
  </si>
  <si>
    <t>Primaparts GmbH</t>
  </si>
  <si>
    <t>G0080</t>
  </si>
  <si>
    <t>Velaline S.r.l.</t>
  </si>
  <si>
    <t>G0081</t>
  </si>
  <si>
    <t>Aquaplast s.r.o.</t>
  </si>
  <si>
    <t>G0082</t>
  </si>
  <si>
    <t>Ferrotronic S.r.l.</t>
  </si>
  <si>
    <t>G0083</t>
  </si>
  <si>
    <t>Kappawerk GmbH</t>
  </si>
  <si>
    <t>G0084</t>
  </si>
  <si>
    <t>Silberwerk s.r.o.</t>
  </si>
  <si>
    <t>G0085</t>
  </si>
  <si>
    <t>Voltatec GmbH</t>
  </si>
  <si>
    <t>G0086</t>
  </si>
  <si>
    <t>Terraseal  SAS</t>
  </si>
  <si>
    <t>G0087</t>
  </si>
  <si>
    <t>Polarplast  S.r.l.</t>
  </si>
  <si>
    <t>G0088</t>
  </si>
  <si>
    <t>Orbisguss</t>
  </si>
  <si>
    <t>G0089</t>
  </si>
  <si>
    <t>Boratc S.r.l.</t>
  </si>
  <si>
    <t>G0090</t>
  </si>
  <si>
    <t>Tauroseal</t>
  </si>
  <si>
    <t>G0091</t>
  </si>
  <si>
    <t>Nordplast  s.r.o.</t>
  </si>
  <si>
    <t>G0092</t>
  </si>
  <si>
    <t>RHEINSEAL GMBH</t>
  </si>
  <si>
    <t>G0093</t>
  </si>
  <si>
    <t>Orbistronic</t>
  </si>
  <si>
    <t>G0094</t>
  </si>
  <si>
    <t>Cerroparts</t>
  </si>
  <si>
    <t>G0095</t>
  </si>
  <si>
    <t>Cerrotec GmbH</t>
  </si>
  <si>
    <t>G0096</t>
  </si>
  <si>
    <t>Boraetal Sp. z o.o.</t>
  </si>
  <si>
    <t>G0097</t>
  </si>
  <si>
    <t>Kraftcast  Sp.  z  o.o.</t>
  </si>
  <si>
    <t>G0098</t>
  </si>
  <si>
    <t>KAPPATEC GMBH</t>
  </si>
  <si>
    <t>G0099</t>
  </si>
  <si>
    <t>Boraflex  s.r.o.</t>
  </si>
  <si>
    <t>G0100</t>
  </si>
  <si>
    <t>Aquaparts  GmbH</t>
  </si>
  <si>
    <t>G0101</t>
  </si>
  <si>
    <t>RHEINGUSS SAS</t>
  </si>
  <si>
    <t>G0102</t>
  </si>
  <si>
    <t>Deltaarts SAS</t>
  </si>
  <si>
    <t>G0103</t>
  </si>
  <si>
    <t>TAUROGUSS GMBH</t>
  </si>
  <si>
    <t>G0104</t>
  </si>
  <si>
    <t>VELAFORM GMBH</t>
  </si>
  <si>
    <t>G0105</t>
  </si>
  <si>
    <t>Silbercast  GmbH</t>
  </si>
  <si>
    <t>G0106</t>
  </si>
  <si>
    <t>Veltec GmbH</t>
  </si>
  <si>
    <t>G0107</t>
  </si>
  <si>
    <t>Nordtronic</t>
  </si>
  <si>
    <t>G0108</t>
  </si>
  <si>
    <t>Rheinmeal s.r.o.</t>
  </si>
  <si>
    <t>G0109</t>
  </si>
  <si>
    <t>Vltatronic Sp. z o.o.</t>
  </si>
  <si>
    <t>G0110</t>
  </si>
  <si>
    <t>KRAFTFORM SAS</t>
  </si>
  <si>
    <t>G0111</t>
  </si>
  <si>
    <t>Teraplast GmbH</t>
  </si>
  <si>
    <t>G0112</t>
  </si>
  <si>
    <t>Boracast GmbH</t>
  </si>
  <si>
    <t>G0113</t>
  </si>
  <si>
    <t>FERROMETAL GMBH</t>
  </si>
  <si>
    <t>G0114</t>
  </si>
  <si>
    <t>Orbisflex GmbH</t>
  </si>
  <si>
    <t>G0115</t>
  </si>
  <si>
    <t>Deltatc s.r.o.</t>
  </si>
  <si>
    <t>G0116</t>
  </si>
  <si>
    <t>Atlastronc GmbH</t>
  </si>
  <si>
    <t>G0117</t>
  </si>
  <si>
    <t>Deltaflex  Sp.  z  o.o.</t>
  </si>
  <si>
    <t>G0118</t>
  </si>
  <si>
    <t>Cerroform  S.r.l.</t>
  </si>
  <si>
    <t>G0119</t>
  </si>
  <si>
    <t>Voltasal Sp. z o.o.</t>
  </si>
  <si>
    <t>G0120</t>
  </si>
  <si>
    <t>Taurotec  GmbH</t>
  </si>
  <si>
    <t>Code</t>
  </si>
  <si>
    <t>Description</t>
  </si>
  <si>
    <t>Net days</t>
  </si>
  <si>
    <t>Cash discount %</t>
  </si>
  <si>
    <t>Discount days</t>
  </si>
  <si>
    <t>Net 30</t>
  </si>
  <si>
    <t>45 days</t>
  </si>
  <si>
    <t>60 days net</t>
  </si>
  <si>
    <t>2% 14 days, net 30</t>
  </si>
  <si>
    <t>Setting</t>
  </si>
  <si>
    <t>Value</t>
  </si>
  <si>
    <t>Note</t>
  </si>
  <si>
    <t>Data period: first delivery</t>
  </si>
  <si>
    <t>Spend in this workbook covers this period only</t>
  </si>
  <si>
    <t>Data period: last delivery</t>
  </si>
  <si>
    <t>Days in data period</t>
  </si>
  <si>
    <t>Used to turn spend into spend per day</t>
  </si>
  <si>
    <t>Target payment term (days)</t>
  </si>
  <si>
    <t>Assumption: company standard term</t>
  </si>
  <si>
    <t>All data is synthetic. Spend = quantity received x unit price from the purchase-order lines.</t>
  </si>
  <si>
    <t>Spend share</t>
  </si>
  <si>
    <t>Cumulative share</t>
  </si>
  <si>
    <t>ABC class</t>
  </si>
  <si>
    <t>Class</t>
  </si>
  <si>
    <t>Suppliers</t>
  </si>
  <si>
    <t>A</t>
  </si>
  <si>
    <t>B</t>
  </si>
  <si>
    <t>C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</si>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</sst>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0" fontId="1" fillId="2" borderId="0" xfId="0" applyFont="1" applyFill="1" applyAlignment="1">
      <alignment vertical="top" wrapText="1"/>
    </xf>
    <xf numFmtId="3" fontId="0" fillId="0" borderId="0" xfId="0" applyNumberFormat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13" formatCode="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pend" displayName="tblSpend" ref="A1:L121">
  <autoFilter ref="A1:L121" xr:uid="{00000000-0009-0000-0100-000001000000}"/>
  <sortState xmlns:xlrd2="http://schemas.microsoft.com/office/spreadsheetml/2017/richdata2" ref="A2:I121">
    <sortCondition descending="1" ref="F1:F121"/>
  </sortState>
  <tableColumns count="12">
    <tableColumn id="1" xr3:uid="{00000000-0010-0000-0000-000001000000}" name="Golden ID"/>
    <tableColumn id="2" xr3:uid="{00000000-0010-0000-0000-000002000000}" name="Supplier"/>
    <tableColumn id="3" xr3:uid="{00000000-0010-0000-0000-000003000000}" name="Country"/>
    <tableColumn id="4" xr3:uid="{00000000-0010-0000-0000-000004000000}" name="Commodity"/>
    <tableColumn id="5" xr3:uid="{00000000-0010-0000-0000-000005000000}" name="Segment (M2)"/>
    <tableColumn id="6" xr3:uid="{00000000-0010-0000-0000-000006000000}" name="Spend (EUR)"/>
    <tableColumn id="7" xr3:uid="{00000000-0010-0000-0000-000007000000}" name="OTD %"/>
    <tableColumn id="8" xr3:uid="{00000000-0010-0000-0000-000008000000}" name="PPM"/>
    <tableColumn id="9" xr3:uid="{00000000-0010-0000-0000-000009000000}" name="Payment term"/>
    <tableColumn id="10" xr3:uid="{5D1E5103-053F-9149-A678-5C4D8626A5EA}" name="Spend share" dataCellStyle="Percent">
      <calculatedColumnFormula>F2/SUM($F$2:$F$121)</calculatedColumnFormula>
    </tableColumn>
    <tableColumn id="11" xr3:uid="{B3C0593A-4800-A24E-858E-2C3789403277}" name="Cumulative share" dataDxfId="1">
      <calculatedColumnFormula>SUM($J$2:J2)</calculatedColumnFormula>
    </tableColumn>
    <tableColumn id="12" xr3:uid="{DFA46FC0-C59B-9B4C-8696-052595BBF44D}" name="ABC class" dataDxfId="0">
      <calculatedColumnFormula>IF(K2&lt;=80%,"A",IF(K2&lt;=95%,"B","C"))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1"/>
  <sheetViews>
    <sheetView workbookViewId="0">
      <pane xSplit="2" ySplit="1" topLeftCell="C31" activePane="bottomRight" state="frozen"/>
      <selection pane="topRight"/>
      <selection pane="bottomLeft"/>
      <selection pane="bottomRight" activeCell="L61" sqref="L61"/>
    </sheetView>
  </sheetViews>
  <sheetFormatPr baseColWidth="10" defaultColWidth="8.83203125" defaultRowHeight="15" x14ac:dyDescent="0.2"/>
  <cols>
    <col min="1" max="1" width="12.5" customWidth="1"/>
    <col min="2" max="2" width="26" customWidth="1"/>
    <col min="3" max="3" width="13" customWidth="1"/>
    <col min="4" max="4" width="22" customWidth="1"/>
    <col min="5" max="5" width="32" customWidth="1"/>
    <col min="6" max="6" width="14" customWidth="1"/>
    <col min="7" max="8" width="8" customWidth="1"/>
    <col min="9" max="9" width="16.1640625" customWidth="1"/>
    <col min="10" max="10" width="15" style="7" customWidth="1"/>
    <col min="11" max="11" width="18.6640625" customWidth="1"/>
    <col min="12" max="12" width="12.1640625" customWidth="1"/>
  </cols>
  <sheetData>
    <row r="1" spans="1:12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294</v>
      </c>
      <c r="K1" t="s">
        <v>295</v>
      </c>
      <c r="L1" t="s">
        <v>296</v>
      </c>
    </row>
    <row r="2" spans="1:12" x14ac:dyDescent="0.2">
      <c r="A2" t="s">
        <v>228</v>
      </c>
      <c r="B2" t="s">
        <v>229</v>
      </c>
      <c r="C2" t="s">
        <v>63</v>
      </c>
      <c r="D2" t="s">
        <v>53</v>
      </c>
      <c r="E2" t="s">
        <v>44</v>
      </c>
      <c r="F2" s="2">
        <v>8729465</v>
      </c>
      <c r="G2" s="3">
        <v>87</v>
      </c>
      <c r="H2" s="2">
        <v>117</v>
      </c>
      <c r="I2" t="s">
        <v>20</v>
      </c>
      <c r="J2" s="7">
        <f t="shared" ref="J2:J33" si="0">F2/SUM($F$2:$F$121)</f>
        <v>2.9880261291344874E-2</v>
      </c>
      <c r="K2" s="4">
        <f>SUM($J$2:J2)</f>
        <v>2.9880261291344874E-2</v>
      </c>
      <c r="L2" t="str">
        <f t="shared" ref="L2:L33" si="1">IF(K2&lt;=80%,"A",IF(K2&lt;=95%,"B","C"))</f>
        <v>A</v>
      </c>
    </row>
    <row r="3" spans="1:12" x14ac:dyDescent="0.2">
      <c r="A3" t="s">
        <v>61</v>
      </c>
      <c r="B3" t="s">
        <v>62</v>
      </c>
      <c r="C3" t="s">
        <v>63</v>
      </c>
      <c r="D3" t="s">
        <v>23</v>
      </c>
      <c r="E3" t="s">
        <v>58</v>
      </c>
      <c r="F3" s="2">
        <v>8166335</v>
      </c>
      <c r="G3" s="3">
        <v>94.9</v>
      </c>
      <c r="H3" s="2">
        <v>699</v>
      </c>
      <c r="I3" t="s">
        <v>14</v>
      </c>
      <c r="J3" s="7">
        <f t="shared" si="0"/>
        <v>2.7952712290232544E-2</v>
      </c>
      <c r="K3" s="4">
        <f>SUM($J$2:J3)</f>
        <v>5.7832973581577421E-2</v>
      </c>
      <c r="L3" t="str">
        <f t="shared" si="1"/>
        <v>A</v>
      </c>
    </row>
    <row r="4" spans="1:12" x14ac:dyDescent="0.2">
      <c r="A4" t="s">
        <v>236</v>
      </c>
      <c r="B4" t="s">
        <v>237</v>
      </c>
      <c r="C4" t="s">
        <v>33</v>
      </c>
      <c r="D4" t="s">
        <v>34</v>
      </c>
      <c r="E4" t="s">
        <v>44</v>
      </c>
      <c r="F4" s="2">
        <v>7892755</v>
      </c>
      <c r="G4" s="3">
        <v>93.3</v>
      </c>
      <c r="H4" s="2">
        <v>134</v>
      </c>
      <c r="I4" t="s">
        <v>30</v>
      </c>
      <c r="J4" s="7">
        <f t="shared" si="0"/>
        <v>2.7016269806748604E-2</v>
      </c>
      <c r="K4" s="4">
        <f>SUM($J$2:J4)</f>
        <v>8.4849243388326029E-2</v>
      </c>
      <c r="L4" t="str">
        <f t="shared" si="1"/>
        <v>A</v>
      </c>
    </row>
    <row r="5" spans="1:12" x14ac:dyDescent="0.2">
      <c r="A5" t="s">
        <v>136</v>
      </c>
      <c r="B5" t="s">
        <v>137</v>
      </c>
      <c r="C5" t="s">
        <v>11</v>
      </c>
      <c r="D5" t="s">
        <v>53</v>
      </c>
      <c r="E5" t="s">
        <v>58</v>
      </c>
      <c r="F5" s="2">
        <v>7297508</v>
      </c>
      <c r="G5" s="3">
        <v>85.1</v>
      </c>
      <c r="H5" s="2">
        <v>789</v>
      </c>
      <c r="I5" t="s">
        <v>20</v>
      </c>
      <c r="J5" s="7">
        <f t="shared" si="0"/>
        <v>2.4978786880488043E-2</v>
      </c>
      <c r="K5" s="4">
        <f>SUM($J$2:J5)</f>
        <v>0.10982803026881408</v>
      </c>
      <c r="L5" t="str">
        <f t="shared" si="1"/>
        <v>A</v>
      </c>
    </row>
    <row r="6" spans="1:12" x14ac:dyDescent="0.2">
      <c r="A6" t="s">
        <v>51</v>
      </c>
      <c r="B6" t="s">
        <v>52</v>
      </c>
      <c r="C6" t="s">
        <v>17</v>
      </c>
      <c r="D6" t="s">
        <v>53</v>
      </c>
      <c r="E6" t="s">
        <v>44</v>
      </c>
      <c r="F6" s="2">
        <v>7016505</v>
      </c>
      <c r="G6" s="3">
        <v>96.3</v>
      </c>
      <c r="H6" s="2">
        <v>102</v>
      </c>
      <c r="I6" t="s">
        <v>45</v>
      </c>
      <c r="J6" s="7">
        <f t="shared" si="0"/>
        <v>2.4016936061033268E-2</v>
      </c>
      <c r="K6" s="4">
        <f>SUM($J$2:J6)</f>
        <v>0.13384496632984735</v>
      </c>
      <c r="L6" t="str">
        <f t="shared" si="1"/>
        <v>A</v>
      </c>
    </row>
    <row r="7" spans="1:12" x14ac:dyDescent="0.2">
      <c r="A7" t="s">
        <v>198</v>
      </c>
      <c r="B7" t="s">
        <v>199</v>
      </c>
      <c r="C7" t="s">
        <v>11</v>
      </c>
      <c r="D7" t="s">
        <v>23</v>
      </c>
      <c r="E7" t="s">
        <v>44</v>
      </c>
      <c r="F7" s="2">
        <v>6591040</v>
      </c>
      <c r="G7" s="3">
        <v>92.4</v>
      </c>
      <c r="H7" s="2">
        <v>117</v>
      </c>
      <c r="I7" t="s">
        <v>30</v>
      </c>
      <c r="J7" s="7">
        <f t="shared" si="0"/>
        <v>2.2560603356758486E-2</v>
      </c>
      <c r="K7" s="4">
        <f>SUM($J$2:J7)</f>
        <v>0.15640556968660585</v>
      </c>
      <c r="L7" t="str">
        <f t="shared" si="1"/>
        <v>A</v>
      </c>
    </row>
    <row r="8" spans="1:12" x14ac:dyDescent="0.2">
      <c r="A8" t="s">
        <v>238</v>
      </c>
      <c r="B8" t="s">
        <v>239</v>
      </c>
      <c r="C8" t="s">
        <v>11</v>
      </c>
      <c r="D8" t="s">
        <v>39</v>
      </c>
      <c r="E8" t="s">
        <v>44</v>
      </c>
      <c r="F8" s="2">
        <v>6508860</v>
      </c>
      <c r="G8" s="3">
        <v>88.2</v>
      </c>
      <c r="H8" s="2">
        <v>60</v>
      </c>
      <c r="I8" t="s">
        <v>25</v>
      </c>
      <c r="J8" s="7">
        <f t="shared" si="0"/>
        <v>2.2279307782181727E-2</v>
      </c>
      <c r="K8" s="4">
        <f>SUM($J$2:J8)</f>
        <v>0.17868487746878758</v>
      </c>
      <c r="L8" t="str">
        <f t="shared" si="1"/>
        <v>A</v>
      </c>
    </row>
    <row r="9" spans="1:12" x14ac:dyDescent="0.2">
      <c r="A9" t="s">
        <v>120</v>
      </c>
      <c r="B9" t="s">
        <v>121</v>
      </c>
      <c r="C9" t="s">
        <v>11</v>
      </c>
      <c r="D9" t="s">
        <v>29</v>
      </c>
      <c r="E9" t="s">
        <v>19</v>
      </c>
      <c r="F9" s="2">
        <v>6491982</v>
      </c>
      <c r="G9" s="3">
        <v>58.8</v>
      </c>
      <c r="H9" s="2">
        <v>911</v>
      </c>
      <c r="I9" t="s">
        <v>20</v>
      </c>
      <c r="J9" s="7">
        <f t="shared" si="0"/>
        <v>2.2221535736578094E-2</v>
      </c>
      <c r="K9" s="4">
        <f>SUM($J$2:J9)</f>
        <v>0.20090641320536567</v>
      </c>
      <c r="L9" t="str">
        <f t="shared" si="1"/>
        <v>A</v>
      </c>
    </row>
    <row r="10" spans="1:12" x14ac:dyDescent="0.2">
      <c r="A10" t="s">
        <v>158</v>
      </c>
      <c r="B10" t="s">
        <v>159</v>
      </c>
      <c r="C10" t="s">
        <v>75</v>
      </c>
      <c r="D10" t="s">
        <v>34</v>
      </c>
      <c r="E10" t="s">
        <v>19</v>
      </c>
      <c r="F10" s="2">
        <v>6425100</v>
      </c>
      <c r="G10" s="3">
        <v>79.3</v>
      </c>
      <c r="H10" s="2">
        <v>5265</v>
      </c>
      <c r="I10" t="s">
        <v>45</v>
      </c>
      <c r="J10" s="7">
        <f t="shared" si="0"/>
        <v>2.1992603993832377E-2</v>
      </c>
      <c r="K10" s="4">
        <f>SUM($J$2:J10)</f>
        <v>0.22289901719919805</v>
      </c>
      <c r="L10" t="str">
        <f t="shared" si="1"/>
        <v>A</v>
      </c>
    </row>
    <row r="11" spans="1:12" x14ac:dyDescent="0.2">
      <c r="A11" t="s">
        <v>220</v>
      </c>
      <c r="B11" t="s">
        <v>221</v>
      </c>
      <c r="C11" t="s">
        <v>11</v>
      </c>
      <c r="D11" t="s">
        <v>23</v>
      </c>
      <c r="E11" t="s">
        <v>44</v>
      </c>
      <c r="F11" s="2">
        <v>6072516</v>
      </c>
      <c r="G11" s="3">
        <v>96.5</v>
      </c>
      <c r="H11" s="2">
        <v>104</v>
      </c>
      <c r="I11" t="s">
        <v>20</v>
      </c>
      <c r="J11" s="7">
        <f t="shared" si="0"/>
        <v>2.07857371300386E-2</v>
      </c>
      <c r="K11" s="4">
        <f>SUM($J$2:J11)</f>
        <v>0.24368475432923664</v>
      </c>
      <c r="L11" t="str">
        <f t="shared" si="1"/>
        <v>A</v>
      </c>
    </row>
    <row r="12" spans="1:12" x14ac:dyDescent="0.2">
      <c r="A12" t="s">
        <v>186</v>
      </c>
      <c r="B12" t="s">
        <v>187</v>
      </c>
      <c r="C12" t="s">
        <v>11</v>
      </c>
      <c r="D12" t="s">
        <v>18</v>
      </c>
      <c r="E12" t="s">
        <v>19</v>
      </c>
      <c r="F12" s="2">
        <v>5969282</v>
      </c>
      <c r="G12" s="3">
        <v>64.099999999999994</v>
      </c>
      <c r="H12" s="2">
        <v>916</v>
      </c>
      <c r="I12" t="s">
        <v>45</v>
      </c>
      <c r="J12" s="7">
        <f t="shared" si="0"/>
        <v>2.0432375395482049E-2</v>
      </c>
      <c r="K12" s="4">
        <f>SUM($J$2:J12)</f>
        <v>0.26411712972471868</v>
      </c>
      <c r="L12" t="str">
        <f t="shared" si="1"/>
        <v>A</v>
      </c>
    </row>
    <row r="13" spans="1:12" x14ac:dyDescent="0.2">
      <c r="A13" t="s">
        <v>266</v>
      </c>
      <c r="B13" t="s">
        <v>267</v>
      </c>
      <c r="C13" t="s">
        <v>75</v>
      </c>
      <c r="D13" t="s">
        <v>12</v>
      </c>
      <c r="E13" t="s">
        <v>24</v>
      </c>
      <c r="F13" s="2">
        <v>5915328</v>
      </c>
      <c r="G13" s="3">
        <v>51.6</v>
      </c>
      <c r="H13" s="2">
        <v>114</v>
      </c>
      <c r="I13" t="s">
        <v>20</v>
      </c>
      <c r="J13" s="7">
        <f t="shared" si="0"/>
        <v>2.0247695163908497E-2</v>
      </c>
      <c r="K13" s="4">
        <f>SUM($J$2:J13)</f>
        <v>0.28436482488862719</v>
      </c>
      <c r="L13" t="str">
        <f t="shared" si="1"/>
        <v>A</v>
      </c>
    </row>
    <row r="14" spans="1:12" x14ac:dyDescent="0.2">
      <c r="A14" t="s">
        <v>206</v>
      </c>
      <c r="B14" t="s">
        <v>207</v>
      </c>
      <c r="C14" t="s">
        <v>28</v>
      </c>
      <c r="D14" t="s">
        <v>34</v>
      </c>
      <c r="E14" t="s">
        <v>44</v>
      </c>
      <c r="F14" s="2">
        <v>5803633</v>
      </c>
      <c r="G14" s="3">
        <v>88.9</v>
      </c>
      <c r="H14" s="2">
        <v>50</v>
      </c>
      <c r="I14" t="s">
        <v>25</v>
      </c>
      <c r="J14" s="7">
        <f t="shared" si="0"/>
        <v>1.9865372102307727E-2</v>
      </c>
      <c r="K14" s="4">
        <f>SUM($J$2:J14)</f>
        <v>0.3042301969909349</v>
      </c>
      <c r="L14" t="str">
        <f t="shared" si="1"/>
        <v>A</v>
      </c>
    </row>
    <row r="15" spans="1:12" x14ac:dyDescent="0.2">
      <c r="A15" t="s">
        <v>180</v>
      </c>
      <c r="B15" t="s">
        <v>181</v>
      </c>
      <c r="C15" t="s">
        <v>33</v>
      </c>
      <c r="D15" t="s">
        <v>48</v>
      </c>
      <c r="E15" t="s">
        <v>58</v>
      </c>
      <c r="F15" s="2">
        <v>5528859</v>
      </c>
      <c r="G15" s="3">
        <v>90.4</v>
      </c>
      <c r="H15" s="2">
        <v>806</v>
      </c>
      <c r="I15" t="s">
        <v>30</v>
      </c>
      <c r="J15" s="7">
        <f t="shared" si="0"/>
        <v>1.8924842652213364E-2</v>
      </c>
      <c r="K15" s="4">
        <f>SUM($J$2:J15)</f>
        <v>0.32315503964314829</v>
      </c>
      <c r="L15" t="str">
        <f t="shared" si="1"/>
        <v>A</v>
      </c>
    </row>
    <row r="16" spans="1:12" x14ac:dyDescent="0.2">
      <c r="A16" t="s">
        <v>260</v>
      </c>
      <c r="B16" t="s">
        <v>261</v>
      </c>
      <c r="C16" t="s">
        <v>11</v>
      </c>
      <c r="D16" t="s">
        <v>53</v>
      </c>
      <c r="E16" t="s">
        <v>24</v>
      </c>
      <c r="F16" s="2">
        <v>4891366</v>
      </c>
      <c r="G16" s="3">
        <v>83.1</v>
      </c>
      <c r="H16" s="2">
        <v>140</v>
      </c>
      <c r="I16" t="s">
        <v>20</v>
      </c>
      <c r="J16" s="7">
        <f t="shared" si="0"/>
        <v>1.6742755043018146E-2</v>
      </c>
      <c r="K16" s="4">
        <f>SUM($J$2:J16)</f>
        <v>0.33989779468616643</v>
      </c>
      <c r="L16" t="str">
        <f t="shared" si="1"/>
        <v>A</v>
      </c>
    </row>
    <row r="17" spans="1:12" x14ac:dyDescent="0.2">
      <c r="A17" t="s">
        <v>172</v>
      </c>
      <c r="B17" t="s">
        <v>173</v>
      </c>
      <c r="C17" t="s">
        <v>11</v>
      </c>
      <c r="D17" t="s">
        <v>23</v>
      </c>
      <c r="E17" t="s">
        <v>24</v>
      </c>
      <c r="F17" s="2">
        <v>4886318</v>
      </c>
      <c r="G17" s="3">
        <v>67.900000000000006</v>
      </c>
      <c r="H17" s="2">
        <v>173</v>
      </c>
      <c r="I17" t="s">
        <v>30</v>
      </c>
      <c r="J17" s="7">
        <f t="shared" si="0"/>
        <v>1.6725476142306739E-2</v>
      </c>
      <c r="K17" s="4">
        <f>SUM($J$2:J17)</f>
        <v>0.35662327082847317</v>
      </c>
      <c r="L17" t="str">
        <f t="shared" si="1"/>
        <v>A</v>
      </c>
    </row>
    <row r="18" spans="1:12" x14ac:dyDescent="0.2">
      <c r="A18" t="s">
        <v>76</v>
      </c>
      <c r="B18" t="s">
        <v>77</v>
      </c>
      <c r="C18" t="s">
        <v>63</v>
      </c>
      <c r="D18" t="s">
        <v>53</v>
      </c>
      <c r="E18" t="s">
        <v>44</v>
      </c>
      <c r="F18" s="2">
        <v>4635149</v>
      </c>
      <c r="G18" s="3">
        <v>91.8</v>
      </c>
      <c r="H18" s="2">
        <v>24</v>
      </c>
      <c r="I18" t="s">
        <v>20</v>
      </c>
      <c r="J18" s="7">
        <f t="shared" si="0"/>
        <v>1.586574472139082E-2</v>
      </c>
      <c r="K18" s="4">
        <f>SUM($J$2:J18)</f>
        <v>0.37248901554986397</v>
      </c>
      <c r="L18" t="str">
        <f t="shared" si="1"/>
        <v>A</v>
      </c>
    </row>
    <row r="19" spans="1:12" x14ac:dyDescent="0.2">
      <c r="A19" t="s">
        <v>42</v>
      </c>
      <c r="B19" t="s">
        <v>43</v>
      </c>
      <c r="C19" t="s">
        <v>11</v>
      </c>
      <c r="D19" t="s">
        <v>39</v>
      </c>
      <c r="E19" t="s">
        <v>44</v>
      </c>
      <c r="F19" s="2">
        <v>4527145</v>
      </c>
      <c r="G19" s="3">
        <v>96.6</v>
      </c>
      <c r="H19" s="2">
        <v>75</v>
      </c>
      <c r="I19" t="s">
        <v>45</v>
      </c>
      <c r="J19" s="7">
        <f t="shared" si="0"/>
        <v>1.5496055657913227E-2</v>
      </c>
      <c r="K19" s="4">
        <f>SUM($J$2:J19)</f>
        <v>0.3879850712077772</v>
      </c>
      <c r="L19" t="str">
        <f t="shared" si="1"/>
        <v>A</v>
      </c>
    </row>
    <row r="20" spans="1:12" x14ac:dyDescent="0.2">
      <c r="A20" t="s">
        <v>128</v>
      </c>
      <c r="B20" t="s">
        <v>129</v>
      </c>
      <c r="C20" t="s">
        <v>11</v>
      </c>
      <c r="D20" t="s">
        <v>12</v>
      </c>
      <c r="E20" t="s">
        <v>58</v>
      </c>
      <c r="F20" s="2">
        <v>4516419</v>
      </c>
      <c r="G20" s="3">
        <v>94.1</v>
      </c>
      <c r="H20" s="2">
        <v>747</v>
      </c>
      <c r="I20" t="s">
        <v>45</v>
      </c>
      <c r="J20" s="7">
        <f t="shared" si="0"/>
        <v>1.5459341416821594E-2</v>
      </c>
      <c r="K20" s="4">
        <f>SUM($J$2:J20)</f>
        <v>0.40344441262459879</v>
      </c>
      <c r="L20" t="str">
        <f t="shared" si="1"/>
        <v>A</v>
      </c>
    </row>
    <row r="21" spans="1:12" x14ac:dyDescent="0.2">
      <c r="A21" t="s">
        <v>148</v>
      </c>
      <c r="B21" t="s">
        <v>149</v>
      </c>
      <c r="C21" t="s">
        <v>11</v>
      </c>
      <c r="D21" t="s">
        <v>48</v>
      </c>
      <c r="E21" t="s">
        <v>19</v>
      </c>
      <c r="F21" s="2">
        <v>4112508</v>
      </c>
      <c r="G21" s="3">
        <v>41.7</v>
      </c>
      <c r="H21" s="2">
        <v>980</v>
      </c>
      <c r="I21" t="s">
        <v>20</v>
      </c>
      <c r="J21" s="7">
        <f t="shared" si="0"/>
        <v>1.407678633258122E-2</v>
      </c>
      <c r="K21" s="4">
        <f>SUM($J$2:J21)</f>
        <v>0.41752119895717998</v>
      </c>
      <c r="L21" t="str">
        <f t="shared" si="1"/>
        <v>A</v>
      </c>
    </row>
    <row r="22" spans="1:12" x14ac:dyDescent="0.2">
      <c r="A22" t="s">
        <v>192</v>
      </c>
      <c r="B22" t="s">
        <v>193</v>
      </c>
      <c r="C22" t="s">
        <v>28</v>
      </c>
      <c r="D22" t="s">
        <v>12</v>
      </c>
      <c r="E22" t="s">
        <v>19</v>
      </c>
      <c r="F22" s="2">
        <v>4009816</v>
      </c>
      <c r="G22" s="3">
        <v>73.8</v>
      </c>
      <c r="H22" s="2">
        <v>893</v>
      </c>
      <c r="I22" t="s">
        <v>20</v>
      </c>
      <c r="J22" s="7">
        <f t="shared" si="0"/>
        <v>1.3725279820723874E-2</v>
      </c>
      <c r="K22" s="4">
        <f>SUM($J$2:J22)</f>
        <v>0.43124647877790384</v>
      </c>
      <c r="L22" t="str">
        <f t="shared" si="1"/>
        <v>A</v>
      </c>
    </row>
    <row r="23" spans="1:12" x14ac:dyDescent="0.2">
      <c r="A23" t="s">
        <v>196</v>
      </c>
      <c r="B23" t="s">
        <v>197</v>
      </c>
      <c r="C23" t="s">
        <v>28</v>
      </c>
      <c r="D23" t="s">
        <v>53</v>
      </c>
      <c r="E23" t="s">
        <v>24</v>
      </c>
      <c r="F23" s="2">
        <v>3901204</v>
      </c>
      <c r="G23" s="3">
        <v>70</v>
      </c>
      <c r="H23" s="2">
        <v>146</v>
      </c>
      <c r="I23" t="s">
        <v>20</v>
      </c>
      <c r="J23" s="7">
        <f t="shared" si="0"/>
        <v>1.3353509621819869E-2</v>
      </c>
      <c r="K23" s="4">
        <f>SUM($J$2:J23)</f>
        <v>0.4445999883997237</v>
      </c>
      <c r="L23" t="str">
        <f t="shared" si="1"/>
        <v>A</v>
      </c>
    </row>
    <row r="24" spans="1:12" x14ac:dyDescent="0.2">
      <c r="A24" t="s">
        <v>15</v>
      </c>
      <c r="B24" t="s">
        <v>16</v>
      </c>
      <c r="C24" t="s">
        <v>17</v>
      </c>
      <c r="D24" t="s">
        <v>18</v>
      </c>
      <c r="E24" t="s">
        <v>19</v>
      </c>
      <c r="F24" s="2">
        <v>3850896</v>
      </c>
      <c r="G24" s="3">
        <v>77.099999999999994</v>
      </c>
      <c r="H24" s="2">
        <v>902</v>
      </c>
      <c r="I24" t="s">
        <v>20</v>
      </c>
      <c r="J24" s="7">
        <f t="shared" si="0"/>
        <v>1.318130935696458E-2</v>
      </c>
      <c r="K24" s="4">
        <f>SUM($J$2:J24)</f>
        <v>0.4577812977566883</v>
      </c>
      <c r="L24" t="str">
        <f t="shared" si="1"/>
        <v>A</v>
      </c>
    </row>
    <row r="25" spans="1:12" x14ac:dyDescent="0.2">
      <c r="A25" t="s">
        <v>234</v>
      </c>
      <c r="B25" t="s">
        <v>235</v>
      </c>
      <c r="C25" t="s">
        <v>33</v>
      </c>
      <c r="D25" t="s">
        <v>53</v>
      </c>
      <c r="E25" t="s">
        <v>24</v>
      </c>
      <c r="F25" s="2">
        <v>3790329</v>
      </c>
      <c r="G25" s="3">
        <v>58.8</v>
      </c>
      <c r="H25" s="2">
        <v>164</v>
      </c>
      <c r="I25" t="s">
        <v>30</v>
      </c>
      <c r="J25" s="7">
        <f t="shared" si="0"/>
        <v>1.297399335470867E-2</v>
      </c>
      <c r="K25" s="4">
        <f>SUM($J$2:J25)</f>
        <v>0.47075529111139697</v>
      </c>
      <c r="L25" t="str">
        <f t="shared" si="1"/>
        <v>A</v>
      </c>
    </row>
    <row r="26" spans="1:12" x14ac:dyDescent="0.2">
      <c r="A26" t="s">
        <v>268</v>
      </c>
      <c r="B26" t="s">
        <v>269</v>
      </c>
      <c r="C26" t="s">
        <v>28</v>
      </c>
      <c r="D26" t="s">
        <v>34</v>
      </c>
      <c r="E26" t="s">
        <v>44</v>
      </c>
      <c r="F26" s="2">
        <v>3669523</v>
      </c>
      <c r="G26" s="3">
        <v>95.9</v>
      </c>
      <c r="H26" s="2">
        <v>90</v>
      </c>
      <c r="I26" t="s">
        <v>30</v>
      </c>
      <c r="J26" s="7">
        <f t="shared" si="0"/>
        <v>1.2560484067992679E-2</v>
      </c>
      <c r="K26" s="4">
        <f>SUM($J$2:J26)</f>
        <v>0.48331577517938967</v>
      </c>
      <c r="L26" t="str">
        <f t="shared" si="1"/>
        <v>A</v>
      </c>
    </row>
    <row r="27" spans="1:12" x14ac:dyDescent="0.2">
      <c r="A27" t="s">
        <v>190</v>
      </c>
      <c r="B27" t="s">
        <v>191</v>
      </c>
      <c r="C27" t="s">
        <v>11</v>
      </c>
      <c r="D27" t="s">
        <v>29</v>
      </c>
      <c r="E27" t="s">
        <v>44</v>
      </c>
      <c r="F27" s="2">
        <v>3559963</v>
      </c>
      <c r="G27" s="3">
        <v>90</v>
      </c>
      <c r="H27" s="2">
        <v>87</v>
      </c>
      <c r="I27" t="s">
        <v>30</v>
      </c>
      <c r="J27" s="7">
        <f t="shared" si="0"/>
        <v>1.2185468940825122E-2</v>
      </c>
      <c r="K27" s="4">
        <f>SUM($J$2:J27)</f>
        <v>0.49550124412021479</v>
      </c>
      <c r="L27" t="str">
        <f t="shared" si="1"/>
        <v>A</v>
      </c>
    </row>
    <row r="28" spans="1:12" x14ac:dyDescent="0.2">
      <c r="A28" t="s">
        <v>80</v>
      </c>
      <c r="B28" t="s">
        <v>81</v>
      </c>
      <c r="C28" t="s">
        <v>75</v>
      </c>
      <c r="D28" t="s">
        <v>53</v>
      </c>
      <c r="E28" t="s">
        <v>19</v>
      </c>
      <c r="F28" s="2">
        <v>3489820</v>
      </c>
      <c r="G28" s="3">
        <v>82.1</v>
      </c>
      <c r="H28" s="2">
        <v>743</v>
      </c>
      <c r="I28" t="s">
        <v>25</v>
      </c>
      <c r="J28" s="7">
        <f t="shared" si="0"/>
        <v>1.1945375055603199E-2</v>
      </c>
      <c r="K28" s="4">
        <f>SUM($J$2:J28)</f>
        <v>0.50744661917581801</v>
      </c>
      <c r="L28" t="str">
        <f t="shared" si="1"/>
        <v>A</v>
      </c>
    </row>
    <row r="29" spans="1:12" x14ac:dyDescent="0.2">
      <c r="A29" t="s">
        <v>96</v>
      </c>
      <c r="B29" t="s">
        <v>97</v>
      </c>
      <c r="C29" t="s">
        <v>11</v>
      </c>
      <c r="D29" t="s">
        <v>23</v>
      </c>
      <c r="E29" t="s">
        <v>58</v>
      </c>
      <c r="F29" s="2">
        <v>3460790</v>
      </c>
      <c r="G29" s="3">
        <v>94.9</v>
      </c>
      <c r="H29" s="2">
        <v>797</v>
      </c>
      <c r="I29" t="s">
        <v>45</v>
      </c>
      <c r="J29" s="7">
        <f t="shared" si="0"/>
        <v>1.1846007684832167E-2</v>
      </c>
      <c r="K29" s="4">
        <f>SUM($J$2:J29)</f>
        <v>0.51929262686065014</v>
      </c>
      <c r="L29" t="str">
        <f t="shared" si="1"/>
        <v>A</v>
      </c>
    </row>
    <row r="30" spans="1:12" x14ac:dyDescent="0.2">
      <c r="A30" t="s">
        <v>202</v>
      </c>
      <c r="B30" t="s">
        <v>203</v>
      </c>
      <c r="C30" t="s">
        <v>11</v>
      </c>
      <c r="D30" t="s">
        <v>12</v>
      </c>
      <c r="E30" t="s">
        <v>58</v>
      </c>
      <c r="F30" s="2">
        <v>3429954</v>
      </c>
      <c r="G30" s="3">
        <v>86.5</v>
      </c>
      <c r="H30" s="2">
        <v>5270</v>
      </c>
      <c r="I30" t="s">
        <v>25</v>
      </c>
      <c r="J30" s="7">
        <f t="shared" si="0"/>
        <v>1.1740458520343861E-2</v>
      </c>
      <c r="K30" s="4">
        <f>SUM($J$2:J30)</f>
        <v>0.53103308538099403</v>
      </c>
      <c r="L30" t="str">
        <f t="shared" si="1"/>
        <v>A</v>
      </c>
    </row>
    <row r="31" spans="1:12" x14ac:dyDescent="0.2">
      <c r="A31" t="s">
        <v>108</v>
      </c>
      <c r="B31" t="s">
        <v>109</v>
      </c>
      <c r="C31" t="s">
        <v>11</v>
      </c>
      <c r="D31" t="s">
        <v>18</v>
      </c>
      <c r="E31" t="s">
        <v>19</v>
      </c>
      <c r="F31" s="2">
        <v>3295628</v>
      </c>
      <c r="G31" s="3">
        <v>65.5</v>
      </c>
      <c r="H31" s="2">
        <v>943</v>
      </c>
      <c r="I31" t="s">
        <v>20</v>
      </c>
      <c r="J31" s="7">
        <f t="shared" si="0"/>
        <v>1.128067135375104E-2</v>
      </c>
      <c r="K31" s="4">
        <f>SUM($J$2:J31)</f>
        <v>0.54231375673474502</v>
      </c>
      <c r="L31" t="str">
        <f t="shared" si="1"/>
        <v>A</v>
      </c>
    </row>
    <row r="32" spans="1:12" x14ac:dyDescent="0.2">
      <c r="A32" t="s">
        <v>106</v>
      </c>
      <c r="B32" t="s">
        <v>107</v>
      </c>
      <c r="C32" t="s">
        <v>11</v>
      </c>
      <c r="D32" t="s">
        <v>18</v>
      </c>
      <c r="E32" t="s">
        <v>19</v>
      </c>
      <c r="F32" s="2">
        <v>3104710</v>
      </c>
      <c r="G32" s="3">
        <v>72.5</v>
      </c>
      <c r="H32" s="2">
        <v>748</v>
      </c>
      <c r="I32" t="s">
        <v>30</v>
      </c>
      <c r="J32" s="7">
        <f t="shared" si="0"/>
        <v>1.0627174292336512E-2</v>
      </c>
      <c r="K32" s="4">
        <f>SUM($J$2:J32)</f>
        <v>0.55294093102708153</v>
      </c>
      <c r="L32" t="str">
        <f t="shared" si="1"/>
        <v>A</v>
      </c>
    </row>
    <row r="33" spans="1:12" x14ac:dyDescent="0.2">
      <c r="A33" t="s">
        <v>204</v>
      </c>
      <c r="B33" t="s">
        <v>205</v>
      </c>
      <c r="C33" t="s">
        <v>33</v>
      </c>
      <c r="D33" t="s">
        <v>39</v>
      </c>
      <c r="E33" t="s">
        <v>44</v>
      </c>
      <c r="F33" s="2">
        <v>3090622</v>
      </c>
      <c r="G33" s="3">
        <v>94.1</v>
      </c>
      <c r="H33" s="2">
        <v>133</v>
      </c>
      <c r="I33" t="s">
        <v>25</v>
      </c>
      <c r="J33" s="7">
        <f t="shared" si="0"/>
        <v>1.0578952193837638E-2</v>
      </c>
      <c r="K33" s="4">
        <f>SUM($J$2:J33)</f>
        <v>0.56351988322091917</v>
      </c>
      <c r="L33" t="str">
        <f t="shared" si="1"/>
        <v>A</v>
      </c>
    </row>
    <row r="34" spans="1:12" x14ac:dyDescent="0.2">
      <c r="A34" t="s">
        <v>88</v>
      </c>
      <c r="B34" t="s">
        <v>89</v>
      </c>
      <c r="C34" t="s">
        <v>11</v>
      </c>
      <c r="D34" t="s">
        <v>39</v>
      </c>
      <c r="E34" t="s">
        <v>58</v>
      </c>
      <c r="F34" s="2">
        <v>3030493</v>
      </c>
      <c r="G34" s="3">
        <v>91.9</v>
      </c>
      <c r="H34" s="2">
        <v>835</v>
      </c>
      <c r="I34" t="s">
        <v>25</v>
      </c>
      <c r="J34" s="7">
        <f t="shared" ref="J34:J65" si="2">F34/SUM($F$2:$F$121)</f>
        <v>1.0373135430589573E-2</v>
      </c>
      <c r="K34" s="4">
        <f>SUM($J$2:J34)</f>
        <v>0.57389301865150877</v>
      </c>
      <c r="L34" t="str">
        <f t="shared" ref="L34:L65" si="3">IF(K34&lt;=80%,"A",IF(K34&lt;=95%,"B","C"))</f>
        <v>A</v>
      </c>
    </row>
    <row r="35" spans="1:12" x14ac:dyDescent="0.2">
      <c r="A35" t="s">
        <v>59</v>
      </c>
      <c r="B35" t="s">
        <v>60</v>
      </c>
      <c r="C35" t="s">
        <v>28</v>
      </c>
      <c r="D35" t="s">
        <v>23</v>
      </c>
      <c r="E35" t="s">
        <v>19</v>
      </c>
      <c r="F35" s="2">
        <v>2959201</v>
      </c>
      <c r="G35" s="3">
        <v>54.3</v>
      </c>
      <c r="H35" s="2">
        <v>670</v>
      </c>
      <c r="I35" t="s">
        <v>25</v>
      </c>
      <c r="J35" s="7">
        <f t="shared" si="2"/>
        <v>1.0129108610162139E-2</v>
      </c>
      <c r="K35" s="4">
        <f>SUM($J$2:J35)</f>
        <v>0.58402212726167091</v>
      </c>
      <c r="L35" t="str">
        <f t="shared" si="3"/>
        <v>A</v>
      </c>
    </row>
    <row r="36" spans="1:12" x14ac:dyDescent="0.2">
      <c r="A36" t="s">
        <v>35</v>
      </c>
      <c r="B36" t="s">
        <v>36</v>
      </c>
      <c r="C36" t="s">
        <v>11</v>
      </c>
      <c r="D36" t="s">
        <v>34</v>
      </c>
      <c r="E36" t="s">
        <v>24</v>
      </c>
      <c r="F36" s="2">
        <v>2943032</v>
      </c>
      <c r="G36" s="3">
        <v>75</v>
      </c>
      <c r="H36" s="2">
        <v>85</v>
      </c>
      <c r="I36" t="s">
        <v>20</v>
      </c>
      <c r="J36" s="7">
        <f t="shared" si="2"/>
        <v>1.0073763414915953E-2</v>
      </c>
      <c r="K36" s="4">
        <f>SUM($J$2:J36)</f>
        <v>0.59409589067658686</v>
      </c>
      <c r="L36" t="str">
        <f t="shared" si="3"/>
        <v>A</v>
      </c>
    </row>
    <row r="37" spans="1:12" x14ac:dyDescent="0.2">
      <c r="A37" t="s">
        <v>214</v>
      </c>
      <c r="B37" t="s">
        <v>215</v>
      </c>
      <c r="C37" t="s">
        <v>17</v>
      </c>
      <c r="D37" t="s">
        <v>39</v>
      </c>
      <c r="E37" t="s">
        <v>24</v>
      </c>
      <c r="F37" s="2">
        <v>2923417</v>
      </c>
      <c r="G37" s="3">
        <v>42.5</v>
      </c>
      <c r="H37" s="2">
        <v>127</v>
      </c>
      <c r="I37" t="s">
        <v>25</v>
      </c>
      <c r="J37" s="7">
        <f t="shared" si="2"/>
        <v>1.000662283697335E-2</v>
      </c>
      <c r="K37" s="4">
        <f>SUM($J$2:J37)</f>
        <v>0.60410251351356026</v>
      </c>
      <c r="L37" t="str">
        <f t="shared" si="3"/>
        <v>A</v>
      </c>
    </row>
    <row r="38" spans="1:12" x14ac:dyDescent="0.2">
      <c r="A38" t="s">
        <v>26</v>
      </c>
      <c r="B38" t="s">
        <v>27</v>
      </c>
      <c r="C38" t="s">
        <v>28</v>
      </c>
      <c r="D38" t="s">
        <v>29</v>
      </c>
      <c r="E38" t="s">
        <v>19</v>
      </c>
      <c r="F38" s="2">
        <v>2882552</v>
      </c>
      <c r="G38" s="3">
        <v>81.8</v>
      </c>
      <c r="H38" s="2">
        <v>869</v>
      </c>
      <c r="I38" t="s">
        <v>30</v>
      </c>
      <c r="J38" s="7">
        <f t="shared" si="2"/>
        <v>9.8667452067095467E-3</v>
      </c>
      <c r="K38" s="4">
        <f>SUM($J$2:J38)</f>
        <v>0.61396925872026975</v>
      </c>
      <c r="L38" t="str">
        <f t="shared" si="3"/>
        <v>A</v>
      </c>
    </row>
    <row r="39" spans="1:12" x14ac:dyDescent="0.2">
      <c r="A39" t="s">
        <v>78</v>
      </c>
      <c r="B39" t="s">
        <v>79</v>
      </c>
      <c r="C39" t="s">
        <v>75</v>
      </c>
      <c r="D39" t="s">
        <v>70</v>
      </c>
      <c r="E39" t="s">
        <v>19</v>
      </c>
      <c r="F39" s="2">
        <v>2871672</v>
      </c>
      <c r="G39" s="3">
        <v>76.5</v>
      </c>
      <c r="H39" s="2">
        <v>4588</v>
      </c>
      <c r="I39" t="s">
        <v>30</v>
      </c>
      <c r="J39" s="7">
        <f t="shared" si="2"/>
        <v>9.8295038359210926E-3</v>
      </c>
      <c r="K39" s="4">
        <f>SUM($J$2:J39)</f>
        <v>0.62379876255619082</v>
      </c>
      <c r="L39" t="str">
        <f t="shared" si="3"/>
        <v>A</v>
      </c>
    </row>
    <row r="40" spans="1:12" x14ac:dyDescent="0.2">
      <c r="A40" t="s">
        <v>150</v>
      </c>
      <c r="B40" t="s">
        <v>151</v>
      </c>
      <c r="C40" t="s">
        <v>75</v>
      </c>
      <c r="D40" t="s">
        <v>18</v>
      </c>
      <c r="E40" t="s">
        <v>24</v>
      </c>
      <c r="F40" s="2">
        <v>2865400</v>
      </c>
      <c r="G40" s="3">
        <v>64.5</v>
      </c>
      <c r="H40" s="2">
        <v>19</v>
      </c>
      <c r="I40" t="s">
        <v>25</v>
      </c>
      <c r="J40" s="7">
        <f t="shared" si="2"/>
        <v>9.8080352809959831E-3</v>
      </c>
      <c r="K40" s="4">
        <f>SUM($J$2:J40)</f>
        <v>0.63360679783718676</v>
      </c>
      <c r="L40" t="str">
        <f t="shared" si="3"/>
        <v>A</v>
      </c>
    </row>
    <row r="41" spans="1:12" x14ac:dyDescent="0.2">
      <c r="A41" t="s">
        <v>84</v>
      </c>
      <c r="B41" t="s">
        <v>85</v>
      </c>
      <c r="C41" t="s">
        <v>11</v>
      </c>
      <c r="D41" t="s">
        <v>48</v>
      </c>
      <c r="E41" t="s">
        <v>19</v>
      </c>
      <c r="F41" s="2">
        <v>2825038</v>
      </c>
      <c r="G41" s="3">
        <v>73.099999999999994</v>
      </c>
      <c r="H41" s="2">
        <v>816</v>
      </c>
      <c r="I41" t="s">
        <v>20</v>
      </c>
      <c r="J41" s="7">
        <f t="shared" si="2"/>
        <v>9.6698793795471239E-3</v>
      </c>
      <c r="K41" s="4">
        <f>SUM($J$2:J41)</f>
        <v>0.64327667721673387</v>
      </c>
      <c r="L41" t="str">
        <f t="shared" si="3"/>
        <v>A</v>
      </c>
    </row>
    <row r="42" spans="1:12" x14ac:dyDescent="0.2">
      <c r="A42" t="s">
        <v>132</v>
      </c>
      <c r="B42" t="s">
        <v>133</v>
      </c>
      <c r="C42" t="s">
        <v>63</v>
      </c>
      <c r="D42" t="s">
        <v>29</v>
      </c>
      <c r="E42" t="s">
        <v>44</v>
      </c>
      <c r="F42" s="2">
        <v>2697901</v>
      </c>
      <c r="G42" s="3">
        <v>96.9</v>
      </c>
      <c r="H42" s="2">
        <v>113</v>
      </c>
      <c r="I42" t="s">
        <v>30</v>
      </c>
      <c r="J42" s="7">
        <f t="shared" si="2"/>
        <v>9.2346995856195796E-3</v>
      </c>
      <c r="K42" s="4">
        <f>SUM($J$2:J42)</f>
        <v>0.65251137680235349</v>
      </c>
      <c r="L42" t="str">
        <f t="shared" si="3"/>
        <v>A</v>
      </c>
    </row>
    <row r="43" spans="1:12" x14ac:dyDescent="0.2">
      <c r="A43" t="s">
        <v>154</v>
      </c>
      <c r="B43" t="s">
        <v>155</v>
      </c>
      <c r="C43" t="s">
        <v>17</v>
      </c>
      <c r="D43" t="s">
        <v>53</v>
      </c>
      <c r="E43" t="s">
        <v>19</v>
      </c>
      <c r="F43" s="2">
        <v>2629295</v>
      </c>
      <c r="G43" s="3">
        <v>36.4</v>
      </c>
      <c r="H43" s="2">
        <v>863</v>
      </c>
      <c r="I43" t="s">
        <v>20</v>
      </c>
      <c r="J43" s="7">
        <f t="shared" si="2"/>
        <v>8.9998667286055462E-3</v>
      </c>
      <c r="K43" s="4">
        <f>SUM($J$2:J43)</f>
        <v>0.66151124353095903</v>
      </c>
      <c r="L43" t="str">
        <f t="shared" si="3"/>
        <v>A</v>
      </c>
    </row>
    <row r="44" spans="1:12" x14ac:dyDescent="0.2">
      <c r="A44" t="s">
        <v>92</v>
      </c>
      <c r="B44" t="s">
        <v>93</v>
      </c>
      <c r="C44" t="s">
        <v>17</v>
      </c>
      <c r="D44" t="s">
        <v>34</v>
      </c>
      <c r="E44" t="s">
        <v>44</v>
      </c>
      <c r="F44" s="2">
        <v>2483150</v>
      </c>
      <c r="G44" s="3">
        <v>90.9</v>
      </c>
      <c r="H44" s="2">
        <v>68</v>
      </c>
      <c r="I44" t="s">
        <v>20</v>
      </c>
      <c r="J44" s="7">
        <f t="shared" si="2"/>
        <v>8.4996240692417034E-3</v>
      </c>
      <c r="K44" s="4">
        <f>SUM($J$2:J44)</f>
        <v>0.67001086760020068</v>
      </c>
      <c r="L44" t="str">
        <f t="shared" si="3"/>
        <v>A</v>
      </c>
    </row>
    <row r="45" spans="1:12" x14ac:dyDescent="0.2">
      <c r="A45" t="s">
        <v>46</v>
      </c>
      <c r="B45" t="s">
        <v>47</v>
      </c>
      <c r="C45" t="s">
        <v>11</v>
      </c>
      <c r="D45" t="s">
        <v>48</v>
      </c>
      <c r="E45" t="s">
        <v>24</v>
      </c>
      <c r="F45" s="2">
        <v>2466796</v>
      </c>
      <c r="G45" s="3">
        <v>51.6</v>
      </c>
      <c r="H45" s="2">
        <v>68</v>
      </c>
      <c r="I45" t="s">
        <v>45</v>
      </c>
      <c r="J45" s="7">
        <f t="shared" si="2"/>
        <v>8.4436456337753079E-3</v>
      </c>
      <c r="K45" s="4">
        <f>SUM($J$2:J45)</f>
        <v>0.67845451323397599</v>
      </c>
      <c r="L45" t="str">
        <f t="shared" si="3"/>
        <v>A</v>
      </c>
    </row>
    <row r="46" spans="1:12" x14ac:dyDescent="0.2">
      <c r="A46" t="s">
        <v>102</v>
      </c>
      <c r="B46" t="s">
        <v>103</v>
      </c>
      <c r="C46" t="s">
        <v>63</v>
      </c>
      <c r="D46" t="s">
        <v>29</v>
      </c>
      <c r="E46" t="s">
        <v>58</v>
      </c>
      <c r="F46" s="2">
        <v>2435186</v>
      </c>
      <c r="G46" s="3">
        <v>96</v>
      </c>
      <c r="H46" s="2">
        <v>4612</v>
      </c>
      <c r="I46" t="s">
        <v>30</v>
      </c>
      <c r="J46" s="7">
        <f t="shared" si="2"/>
        <v>8.3354471291224551E-3</v>
      </c>
      <c r="K46" s="4">
        <f>SUM($J$2:J46)</f>
        <v>0.68678996036309847</v>
      </c>
      <c r="L46" t="str">
        <f t="shared" si="3"/>
        <v>A</v>
      </c>
    </row>
    <row r="47" spans="1:12" x14ac:dyDescent="0.2">
      <c r="A47" t="s">
        <v>258</v>
      </c>
      <c r="B47" t="s">
        <v>259</v>
      </c>
      <c r="C47" t="s">
        <v>11</v>
      </c>
      <c r="D47" t="s">
        <v>70</v>
      </c>
      <c r="E47" t="s">
        <v>44</v>
      </c>
      <c r="F47" s="2">
        <v>2325849</v>
      </c>
      <c r="G47" s="3">
        <v>90</v>
      </c>
      <c r="H47" s="2">
        <v>189</v>
      </c>
      <c r="I47" t="s">
        <v>45</v>
      </c>
      <c r="J47" s="7">
        <f t="shared" si="2"/>
        <v>7.9611953131392566E-3</v>
      </c>
      <c r="K47" s="4">
        <f>SUM($J$2:J47)</f>
        <v>0.69475115567623769</v>
      </c>
      <c r="L47" t="str">
        <f t="shared" si="3"/>
        <v>A</v>
      </c>
    </row>
    <row r="48" spans="1:12" x14ac:dyDescent="0.2">
      <c r="A48" t="s">
        <v>110</v>
      </c>
      <c r="B48" t="s">
        <v>111</v>
      </c>
      <c r="C48" t="s">
        <v>11</v>
      </c>
      <c r="D48" t="s">
        <v>29</v>
      </c>
      <c r="E48" t="s">
        <v>44</v>
      </c>
      <c r="F48" s="2">
        <v>2314507</v>
      </c>
      <c r="G48" s="3">
        <v>93.9</v>
      </c>
      <c r="H48" s="2">
        <v>110</v>
      </c>
      <c r="I48" t="s">
        <v>20</v>
      </c>
      <c r="J48" s="7">
        <f t="shared" si="2"/>
        <v>7.9223725532603373E-3</v>
      </c>
      <c r="K48" s="4">
        <f>SUM($J$2:J48)</f>
        <v>0.70267352822949802</v>
      </c>
      <c r="L48" t="str">
        <f t="shared" si="3"/>
        <v>A</v>
      </c>
    </row>
    <row r="49" spans="1:12" x14ac:dyDescent="0.2">
      <c r="A49" t="s">
        <v>134</v>
      </c>
      <c r="B49" t="s">
        <v>135</v>
      </c>
      <c r="C49" t="s">
        <v>11</v>
      </c>
      <c r="D49" t="s">
        <v>48</v>
      </c>
      <c r="E49" t="s">
        <v>24</v>
      </c>
      <c r="F49" s="2">
        <v>2304631</v>
      </c>
      <c r="G49" s="3">
        <v>71.400000000000006</v>
      </c>
      <c r="H49" s="2">
        <v>100</v>
      </c>
      <c r="I49" t="s">
        <v>14</v>
      </c>
      <c r="J49" s="7">
        <f t="shared" si="2"/>
        <v>7.8885677942615532E-3</v>
      </c>
      <c r="K49" s="4">
        <f>SUM($J$2:J49)</f>
        <v>0.71056209602375953</v>
      </c>
      <c r="L49" t="str">
        <f t="shared" si="3"/>
        <v>A</v>
      </c>
    </row>
    <row r="50" spans="1:12" x14ac:dyDescent="0.2">
      <c r="A50" t="s">
        <v>94</v>
      </c>
      <c r="B50" t="s">
        <v>95</v>
      </c>
      <c r="C50" t="s">
        <v>28</v>
      </c>
      <c r="D50" t="s">
        <v>34</v>
      </c>
      <c r="E50" t="s">
        <v>44</v>
      </c>
      <c r="F50" s="2">
        <v>2255266</v>
      </c>
      <c r="G50" s="3">
        <v>85.7</v>
      </c>
      <c r="H50" s="2">
        <v>134</v>
      </c>
      <c r="I50" t="s">
        <v>20</v>
      </c>
      <c r="J50" s="7">
        <f t="shared" si="2"/>
        <v>7.7195953430692701E-3</v>
      </c>
      <c r="K50" s="4">
        <f>SUM($J$2:J50)</f>
        <v>0.71828169136682884</v>
      </c>
      <c r="L50" t="str">
        <f t="shared" si="3"/>
        <v>A</v>
      </c>
    </row>
    <row r="51" spans="1:12" x14ac:dyDescent="0.2">
      <c r="A51" t="s">
        <v>73</v>
      </c>
      <c r="B51" t="s">
        <v>74</v>
      </c>
      <c r="C51" t="s">
        <v>75</v>
      </c>
      <c r="D51" t="s">
        <v>53</v>
      </c>
      <c r="E51" t="s">
        <v>24</v>
      </c>
      <c r="F51" s="2">
        <v>2235309</v>
      </c>
      <c r="G51" s="3">
        <v>65</v>
      </c>
      <c r="H51" s="2">
        <v>76</v>
      </c>
      <c r="I51" t="s">
        <v>45</v>
      </c>
      <c r="J51" s="7">
        <f t="shared" si="2"/>
        <v>7.6512841264493089E-3</v>
      </c>
      <c r="K51" s="4">
        <f>SUM($J$2:J51)</f>
        <v>0.72593297549327818</v>
      </c>
      <c r="L51" t="str">
        <f t="shared" si="3"/>
        <v>A</v>
      </c>
    </row>
    <row r="52" spans="1:12" x14ac:dyDescent="0.2">
      <c r="A52" t="s">
        <v>114</v>
      </c>
      <c r="B52" t="s">
        <v>115</v>
      </c>
      <c r="C52" t="s">
        <v>75</v>
      </c>
      <c r="D52" t="s">
        <v>70</v>
      </c>
      <c r="E52" t="s">
        <v>44</v>
      </c>
      <c r="F52" s="2">
        <v>2128201</v>
      </c>
      <c r="G52" s="3">
        <v>100</v>
      </c>
      <c r="H52" s="2">
        <v>109</v>
      </c>
      <c r="I52" t="s">
        <v>30</v>
      </c>
      <c r="J52" s="7">
        <f t="shared" si="2"/>
        <v>7.2846619993895906E-3</v>
      </c>
      <c r="K52" s="4">
        <f>SUM($J$2:J52)</f>
        <v>0.73321763749266777</v>
      </c>
      <c r="L52" t="str">
        <f t="shared" si="3"/>
        <v>A</v>
      </c>
    </row>
    <row r="53" spans="1:12" x14ac:dyDescent="0.2">
      <c r="A53" t="s">
        <v>86</v>
      </c>
      <c r="B53" t="s">
        <v>87</v>
      </c>
      <c r="C53" t="s">
        <v>28</v>
      </c>
      <c r="D53" t="s">
        <v>70</v>
      </c>
      <c r="E53" t="s">
        <v>44</v>
      </c>
      <c r="F53" s="2">
        <v>2119288</v>
      </c>
      <c r="G53" s="3">
        <v>91.7</v>
      </c>
      <c r="H53" s="2">
        <v>147</v>
      </c>
      <c r="I53" t="s">
        <v>20</v>
      </c>
      <c r="J53" s="7">
        <f t="shared" si="2"/>
        <v>7.2541535124559979E-3</v>
      </c>
      <c r="K53" s="4">
        <f>SUM($J$2:J53)</f>
        <v>0.74047179100512373</v>
      </c>
      <c r="L53" t="str">
        <f t="shared" si="3"/>
        <v>A</v>
      </c>
    </row>
    <row r="54" spans="1:12" x14ac:dyDescent="0.2">
      <c r="A54" t="s">
        <v>250</v>
      </c>
      <c r="B54" t="s">
        <v>251</v>
      </c>
      <c r="C54" t="s">
        <v>75</v>
      </c>
      <c r="D54" t="s">
        <v>34</v>
      </c>
      <c r="E54" t="s">
        <v>19</v>
      </c>
      <c r="F54" s="2">
        <v>2096576</v>
      </c>
      <c r="G54" s="3">
        <v>72.2</v>
      </c>
      <c r="H54" s="2">
        <v>1167</v>
      </c>
      <c r="I54" t="s">
        <v>20</v>
      </c>
      <c r="J54" s="7">
        <f t="shared" si="2"/>
        <v>7.1764121509350996E-3</v>
      </c>
      <c r="K54" s="4">
        <f>SUM($J$2:J54)</f>
        <v>0.74764820315605884</v>
      </c>
      <c r="L54" t="str">
        <f t="shared" si="3"/>
        <v>A</v>
      </c>
    </row>
    <row r="55" spans="1:12" x14ac:dyDescent="0.2">
      <c r="A55" t="s">
        <v>226</v>
      </c>
      <c r="B55" t="s">
        <v>227</v>
      </c>
      <c r="C55" t="s">
        <v>75</v>
      </c>
      <c r="D55" t="s">
        <v>29</v>
      </c>
      <c r="E55" t="s">
        <v>44</v>
      </c>
      <c r="F55" s="2">
        <v>2078432</v>
      </c>
      <c r="G55" s="3">
        <v>94.6</v>
      </c>
      <c r="H55" s="2">
        <v>167</v>
      </c>
      <c r="I55" t="s">
        <v>30</v>
      </c>
      <c r="J55" s="7">
        <f t="shared" si="2"/>
        <v>7.1143066884731777E-3</v>
      </c>
      <c r="K55" s="4">
        <f>SUM($J$2:J55)</f>
        <v>0.75476250984453197</v>
      </c>
      <c r="L55" t="str">
        <f t="shared" si="3"/>
        <v>A</v>
      </c>
    </row>
    <row r="56" spans="1:12" x14ac:dyDescent="0.2">
      <c r="A56" t="s">
        <v>272</v>
      </c>
      <c r="B56" t="s">
        <v>273</v>
      </c>
      <c r="C56" t="s">
        <v>11</v>
      </c>
      <c r="D56" t="s">
        <v>12</v>
      </c>
      <c r="E56" t="s">
        <v>44</v>
      </c>
      <c r="F56" s="2">
        <v>2056747</v>
      </c>
      <c r="G56" s="3">
        <v>94.7</v>
      </c>
      <c r="H56" s="2">
        <v>107</v>
      </c>
      <c r="I56" t="s">
        <v>25</v>
      </c>
      <c r="J56" s="7">
        <f t="shared" si="2"/>
        <v>7.0400806659044624E-3</v>
      </c>
      <c r="K56" s="4">
        <f>SUM($J$2:J56)</f>
        <v>0.76180259051043642</v>
      </c>
      <c r="L56" t="str">
        <f t="shared" si="3"/>
        <v>A</v>
      </c>
    </row>
    <row r="57" spans="1:12" x14ac:dyDescent="0.2">
      <c r="A57" t="s">
        <v>176</v>
      </c>
      <c r="B57" t="s">
        <v>177</v>
      </c>
      <c r="C57" t="s">
        <v>63</v>
      </c>
      <c r="D57" t="s">
        <v>39</v>
      </c>
      <c r="E57" t="s">
        <v>58</v>
      </c>
      <c r="F57" s="2">
        <v>2053464</v>
      </c>
      <c r="G57" s="3">
        <v>87.5</v>
      </c>
      <c r="H57" s="2">
        <v>1013</v>
      </c>
      <c r="I57" t="s">
        <v>45</v>
      </c>
      <c r="J57" s="7">
        <f t="shared" si="2"/>
        <v>7.0288432191858508E-3</v>
      </c>
      <c r="K57" s="4">
        <f>SUM($J$2:J57)</f>
        <v>0.76883143372962226</v>
      </c>
      <c r="L57" t="str">
        <f t="shared" si="3"/>
        <v>A</v>
      </c>
    </row>
    <row r="58" spans="1:12" x14ac:dyDescent="0.2">
      <c r="A58" t="s">
        <v>252</v>
      </c>
      <c r="B58" t="s">
        <v>253</v>
      </c>
      <c r="C58" t="s">
        <v>33</v>
      </c>
      <c r="D58" t="s">
        <v>39</v>
      </c>
      <c r="E58" t="s">
        <v>58</v>
      </c>
      <c r="F58" s="2">
        <v>1985456</v>
      </c>
      <c r="G58" s="3">
        <v>86.7</v>
      </c>
      <c r="H58" s="2">
        <v>730</v>
      </c>
      <c r="I58" t="s">
        <v>45</v>
      </c>
      <c r="J58" s="7">
        <f t="shared" si="2"/>
        <v>6.796057268397139E-3</v>
      </c>
      <c r="K58" s="4">
        <f>SUM($J$2:J58)</f>
        <v>0.77562749099801942</v>
      </c>
      <c r="L58" t="str">
        <f t="shared" si="3"/>
        <v>A</v>
      </c>
    </row>
    <row r="59" spans="1:12" x14ac:dyDescent="0.2">
      <c r="A59" t="s">
        <v>90</v>
      </c>
      <c r="B59" t="s">
        <v>91</v>
      </c>
      <c r="C59" t="s">
        <v>11</v>
      </c>
      <c r="D59" t="s">
        <v>34</v>
      </c>
      <c r="E59" t="s">
        <v>19</v>
      </c>
      <c r="F59" s="2">
        <v>1970618</v>
      </c>
      <c r="G59" s="3">
        <v>73.7</v>
      </c>
      <c r="H59" s="2">
        <v>718</v>
      </c>
      <c r="I59" t="s">
        <v>20</v>
      </c>
      <c r="J59" s="7">
        <f t="shared" si="2"/>
        <v>6.745267979816341E-3</v>
      </c>
      <c r="K59" s="4">
        <f>SUM($J$2:J59)</f>
        <v>0.78237275897783576</v>
      </c>
      <c r="L59" t="str">
        <f t="shared" si="3"/>
        <v>A</v>
      </c>
    </row>
    <row r="60" spans="1:12" x14ac:dyDescent="0.2">
      <c r="A60" t="s">
        <v>54</v>
      </c>
      <c r="B60" t="s">
        <v>55</v>
      </c>
      <c r="C60" t="s">
        <v>28</v>
      </c>
      <c r="D60" t="s">
        <v>29</v>
      </c>
      <c r="E60" t="s">
        <v>19</v>
      </c>
      <c r="F60" s="2">
        <v>1919165</v>
      </c>
      <c r="G60" s="3">
        <v>72.2</v>
      </c>
      <c r="H60" s="2">
        <v>810</v>
      </c>
      <c r="I60" t="s">
        <v>30</v>
      </c>
      <c r="J60" s="7">
        <f t="shared" si="2"/>
        <v>6.56914847143598E-3</v>
      </c>
      <c r="K60" s="4">
        <f>SUM($J$2:J60)</f>
        <v>0.78894190744927173</v>
      </c>
      <c r="L60" t="str">
        <f t="shared" si="3"/>
        <v>A</v>
      </c>
    </row>
    <row r="61" spans="1:12" x14ac:dyDescent="0.2">
      <c r="A61" t="s">
        <v>164</v>
      </c>
      <c r="B61" t="s">
        <v>165</v>
      </c>
      <c r="C61" t="s">
        <v>33</v>
      </c>
      <c r="D61" t="s">
        <v>29</v>
      </c>
      <c r="E61" t="s">
        <v>44</v>
      </c>
      <c r="F61" s="2">
        <v>1917140</v>
      </c>
      <c r="G61" s="3">
        <v>88</v>
      </c>
      <c r="H61" s="2">
        <v>109</v>
      </c>
      <c r="I61" t="s">
        <v>25</v>
      </c>
      <c r="J61" s="7">
        <f t="shared" si="2"/>
        <v>6.5622170582147832E-3</v>
      </c>
      <c r="K61" s="4">
        <f>SUM($J$2:J61)</f>
        <v>0.79550412450748653</v>
      </c>
      <c r="L61" t="str">
        <f t="shared" si="3"/>
        <v>A</v>
      </c>
    </row>
    <row r="62" spans="1:12" x14ac:dyDescent="0.2">
      <c r="A62" t="s">
        <v>168</v>
      </c>
      <c r="B62" t="s">
        <v>169</v>
      </c>
      <c r="C62" t="s">
        <v>75</v>
      </c>
      <c r="D62" t="s">
        <v>18</v>
      </c>
      <c r="E62" t="s">
        <v>24</v>
      </c>
      <c r="F62" s="2">
        <v>1878888</v>
      </c>
      <c r="G62" s="3">
        <v>68.8</v>
      </c>
      <c r="H62" s="2">
        <v>145</v>
      </c>
      <c r="I62" t="s">
        <v>20</v>
      </c>
      <c r="J62" s="7">
        <f t="shared" si="2"/>
        <v>6.4312835181964062E-3</v>
      </c>
      <c r="K62" s="4">
        <f>SUM($J$2:J62)</f>
        <v>0.80193540802568297</v>
      </c>
      <c r="L62" t="str">
        <f t="shared" si="3"/>
        <v>B</v>
      </c>
    </row>
    <row r="63" spans="1:12" x14ac:dyDescent="0.2">
      <c r="A63" t="s">
        <v>100</v>
      </c>
      <c r="B63" t="s">
        <v>101</v>
      </c>
      <c r="C63" t="s">
        <v>75</v>
      </c>
      <c r="D63" t="s">
        <v>70</v>
      </c>
      <c r="E63" t="s">
        <v>13</v>
      </c>
      <c r="F63" s="2">
        <v>1870250</v>
      </c>
      <c r="G63" s="3">
        <v>100</v>
      </c>
      <c r="H63" s="2">
        <v>0</v>
      </c>
      <c r="I63" t="s">
        <v>20</v>
      </c>
      <c r="J63" s="7">
        <f t="shared" si="2"/>
        <v>6.4017163342928521E-3</v>
      </c>
      <c r="K63" s="4">
        <f>SUM($J$2:J63)</f>
        <v>0.80833712435997584</v>
      </c>
      <c r="L63" t="str">
        <f t="shared" si="3"/>
        <v>B</v>
      </c>
    </row>
    <row r="64" spans="1:12" x14ac:dyDescent="0.2">
      <c r="A64" t="s">
        <v>68</v>
      </c>
      <c r="B64" t="s">
        <v>69</v>
      </c>
      <c r="C64" t="s">
        <v>17</v>
      </c>
      <c r="D64" t="s">
        <v>70</v>
      </c>
      <c r="E64" t="s">
        <v>19</v>
      </c>
      <c r="F64" s="2">
        <v>1863627</v>
      </c>
      <c r="G64" s="3">
        <v>57.1</v>
      </c>
      <c r="H64" s="2">
        <v>4508</v>
      </c>
      <c r="I64" t="s">
        <v>25</v>
      </c>
      <c r="J64" s="7">
        <f t="shared" si="2"/>
        <v>6.3790463344094023E-3</v>
      </c>
      <c r="K64" s="4">
        <f>SUM($J$2:J64)</f>
        <v>0.81471617069438529</v>
      </c>
      <c r="L64" t="str">
        <f t="shared" si="3"/>
        <v>B</v>
      </c>
    </row>
    <row r="65" spans="1:12" x14ac:dyDescent="0.2">
      <c r="A65" t="s">
        <v>188</v>
      </c>
      <c r="B65" t="s">
        <v>189</v>
      </c>
      <c r="C65" t="s">
        <v>17</v>
      </c>
      <c r="D65" t="s">
        <v>34</v>
      </c>
      <c r="E65" t="s">
        <v>19</v>
      </c>
      <c r="F65" s="2">
        <v>1818970</v>
      </c>
      <c r="G65" s="3">
        <v>44.4</v>
      </c>
      <c r="H65" s="2">
        <v>4723</v>
      </c>
      <c r="I65" t="s">
        <v>30</v>
      </c>
      <c r="J65" s="7">
        <f t="shared" si="2"/>
        <v>6.2261889910913883E-3</v>
      </c>
      <c r="K65" s="4">
        <f>SUM($J$2:J65)</f>
        <v>0.82094235968547669</v>
      </c>
      <c r="L65" t="str">
        <f t="shared" si="3"/>
        <v>B</v>
      </c>
    </row>
    <row r="66" spans="1:12" x14ac:dyDescent="0.2">
      <c r="A66" t="s">
        <v>216</v>
      </c>
      <c r="B66" t="s">
        <v>217</v>
      </c>
      <c r="C66" t="s">
        <v>11</v>
      </c>
      <c r="D66" t="s">
        <v>18</v>
      </c>
      <c r="E66" t="s">
        <v>24</v>
      </c>
      <c r="F66" s="2">
        <v>1780307</v>
      </c>
      <c r="G66" s="3">
        <v>79.3</v>
      </c>
      <c r="H66" s="2">
        <v>135</v>
      </c>
      <c r="I66" t="s">
        <v>25</v>
      </c>
      <c r="J66" s="7">
        <f t="shared" ref="J66:J97" si="4">F66/SUM($F$2:$F$121)</f>
        <v>6.0938486309081163E-3</v>
      </c>
      <c r="K66" s="4">
        <f>SUM($J$2:J66)</f>
        <v>0.8270362083163848</v>
      </c>
      <c r="L66" t="str">
        <f t="shared" ref="L66:L97" si="5">IF(K66&lt;=80%,"A",IF(K66&lt;=95%,"B","C"))</f>
        <v>B</v>
      </c>
    </row>
    <row r="67" spans="1:12" x14ac:dyDescent="0.2">
      <c r="A67" t="s">
        <v>246</v>
      </c>
      <c r="B67" t="s">
        <v>247</v>
      </c>
      <c r="C67" t="s">
        <v>11</v>
      </c>
      <c r="D67" t="s">
        <v>23</v>
      </c>
      <c r="E67" t="s">
        <v>24</v>
      </c>
      <c r="F67" s="2">
        <v>1727420</v>
      </c>
      <c r="G67" s="3">
        <v>42.9</v>
      </c>
      <c r="H67" s="2">
        <v>165</v>
      </c>
      <c r="I67" t="s">
        <v>25</v>
      </c>
      <c r="J67" s="7">
        <f t="shared" si="4"/>
        <v>5.9128206550911151E-3</v>
      </c>
      <c r="K67" s="4">
        <f>SUM($J$2:J67)</f>
        <v>0.83294902897147594</v>
      </c>
      <c r="L67" t="str">
        <f t="shared" si="5"/>
        <v>B</v>
      </c>
    </row>
    <row r="68" spans="1:12" x14ac:dyDescent="0.2">
      <c r="A68" t="s">
        <v>152</v>
      </c>
      <c r="B68" t="s">
        <v>153</v>
      </c>
      <c r="C68" t="s">
        <v>75</v>
      </c>
      <c r="D68" t="s">
        <v>29</v>
      </c>
      <c r="E68" t="s">
        <v>13</v>
      </c>
      <c r="F68" s="2">
        <v>1719814</v>
      </c>
      <c r="G68" s="3">
        <v>94.1</v>
      </c>
      <c r="H68" s="2">
        <v>110</v>
      </c>
      <c r="I68" t="s">
        <v>20</v>
      </c>
      <c r="J68" s="7">
        <f t="shared" si="4"/>
        <v>5.8867859247402898E-3</v>
      </c>
      <c r="K68" s="4">
        <f>SUM($J$2:J68)</f>
        <v>0.83883581489621628</v>
      </c>
      <c r="L68" t="str">
        <f t="shared" si="5"/>
        <v>B</v>
      </c>
    </row>
    <row r="69" spans="1:12" x14ac:dyDescent="0.2">
      <c r="A69" t="s">
        <v>210</v>
      </c>
      <c r="B69" t="s">
        <v>211</v>
      </c>
      <c r="C69" t="s">
        <v>28</v>
      </c>
      <c r="D69" t="s">
        <v>29</v>
      </c>
      <c r="E69" t="s">
        <v>58</v>
      </c>
      <c r="F69" s="2">
        <v>1693890</v>
      </c>
      <c r="G69" s="3">
        <v>94.7</v>
      </c>
      <c r="H69" s="2">
        <v>705</v>
      </c>
      <c r="I69" t="s">
        <v>25</v>
      </c>
      <c r="J69" s="7">
        <f t="shared" si="4"/>
        <v>5.7980501438285358E-3</v>
      </c>
      <c r="K69" s="4">
        <f>SUM($J$2:J69)</f>
        <v>0.84463386504004478</v>
      </c>
      <c r="L69" t="str">
        <f t="shared" si="5"/>
        <v>B</v>
      </c>
    </row>
    <row r="70" spans="1:12" x14ac:dyDescent="0.2">
      <c r="A70" t="s">
        <v>208</v>
      </c>
      <c r="B70" t="s">
        <v>209</v>
      </c>
      <c r="C70" t="s">
        <v>11</v>
      </c>
      <c r="D70" t="s">
        <v>39</v>
      </c>
      <c r="E70" t="s">
        <v>24</v>
      </c>
      <c r="F70" s="2">
        <v>1625687</v>
      </c>
      <c r="G70" s="3">
        <v>70.599999999999994</v>
      </c>
      <c r="H70" s="2">
        <v>211</v>
      </c>
      <c r="I70" t="s">
        <v>45</v>
      </c>
      <c r="J70" s="7">
        <f t="shared" si="4"/>
        <v>5.5645967236185234E-3</v>
      </c>
      <c r="K70" s="4">
        <f>SUM($J$2:J70)</f>
        <v>0.85019846176366332</v>
      </c>
      <c r="L70" t="str">
        <f t="shared" si="5"/>
        <v>B</v>
      </c>
    </row>
    <row r="71" spans="1:12" x14ac:dyDescent="0.2">
      <c r="A71" t="s">
        <v>212</v>
      </c>
      <c r="B71" t="s">
        <v>213</v>
      </c>
      <c r="C71" t="s">
        <v>11</v>
      </c>
      <c r="D71" t="s">
        <v>12</v>
      </c>
      <c r="E71" t="s">
        <v>24</v>
      </c>
      <c r="F71" s="2">
        <v>1545398</v>
      </c>
      <c r="G71" s="3">
        <v>54.2</v>
      </c>
      <c r="H71" s="2">
        <v>0</v>
      </c>
      <c r="I71" t="s">
        <v>20</v>
      </c>
      <c r="J71" s="7">
        <f t="shared" si="4"/>
        <v>5.2897738909683228E-3</v>
      </c>
      <c r="K71" s="4">
        <f>SUM($J$2:J71)</f>
        <v>0.85548823565463161</v>
      </c>
      <c r="L71" t="str">
        <f t="shared" si="5"/>
        <v>B</v>
      </c>
    </row>
    <row r="72" spans="1:12" x14ac:dyDescent="0.2">
      <c r="A72" t="s">
        <v>71</v>
      </c>
      <c r="B72" t="s">
        <v>72</v>
      </c>
      <c r="C72" t="s">
        <v>11</v>
      </c>
      <c r="D72" t="s">
        <v>70</v>
      </c>
      <c r="E72" t="s">
        <v>19</v>
      </c>
      <c r="F72" s="2">
        <v>1544505</v>
      </c>
      <c r="G72" s="3">
        <v>63.6</v>
      </c>
      <c r="H72" s="2">
        <v>861</v>
      </c>
      <c r="I72" t="s">
        <v>30</v>
      </c>
      <c r="J72" s="7">
        <f t="shared" si="4"/>
        <v>5.2867172233107777E-3</v>
      </c>
      <c r="K72" s="4">
        <f>SUM($J$2:J72)</f>
        <v>0.86077495287794237</v>
      </c>
      <c r="L72" t="str">
        <f t="shared" si="5"/>
        <v>B</v>
      </c>
    </row>
    <row r="73" spans="1:12" x14ac:dyDescent="0.2">
      <c r="A73" t="s">
        <v>104</v>
      </c>
      <c r="B73" t="s">
        <v>105</v>
      </c>
      <c r="C73" t="s">
        <v>11</v>
      </c>
      <c r="D73" t="s">
        <v>39</v>
      </c>
      <c r="E73" t="s">
        <v>13</v>
      </c>
      <c r="F73" s="2">
        <v>1532145</v>
      </c>
      <c r="G73" s="3">
        <v>87.5</v>
      </c>
      <c r="H73" s="2">
        <v>118</v>
      </c>
      <c r="I73" t="s">
        <v>30</v>
      </c>
      <c r="J73" s="7">
        <f t="shared" si="4"/>
        <v>5.2444099307606589E-3</v>
      </c>
      <c r="K73" s="4">
        <f>SUM($J$2:J73)</f>
        <v>0.86601936280870306</v>
      </c>
      <c r="L73" t="str">
        <f t="shared" si="5"/>
        <v>B</v>
      </c>
    </row>
    <row r="74" spans="1:12" x14ac:dyDescent="0.2">
      <c r="A74" t="s">
        <v>200</v>
      </c>
      <c r="B74" t="s">
        <v>201</v>
      </c>
      <c r="C74" t="s">
        <v>17</v>
      </c>
      <c r="D74" t="s">
        <v>29</v>
      </c>
      <c r="E74" t="s">
        <v>24</v>
      </c>
      <c r="F74" s="2">
        <v>1479272</v>
      </c>
      <c r="G74" s="3">
        <v>63.6</v>
      </c>
      <c r="H74" s="2">
        <v>53</v>
      </c>
      <c r="I74" t="s">
        <v>30</v>
      </c>
      <c r="J74" s="7">
        <f t="shared" si="4"/>
        <v>5.063429875825187E-3</v>
      </c>
      <c r="K74" s="4">
        <f>SUM($J$2:J74)</f>
        <v>0.87108279268452826</v>
      </c>
      <c r="L74" t="str">
        <f t="shared" si="5"/>
        <v>B</v>
      </c>
    </row>
    <row r="75" spans="1:12" x14ac:dyDescent="0.2">
      <c r="A75" t="s">
        <v>49</v>
      </c>
      <c r="B75" t="s">
        <v>50</v>
      </c>
      <c r="C75" t="s">
        <v>17</v>
      </c>
      <c r="D75" t="s">
        <v>34</v>
      </c>
      <c r="E75" t="s">
        <v>19</v>
      </c>
      <c r="F75" s="2">
        <v>1406564</v>
      </c>
      <c r="G75" s="3">
        <v>52.2</v>
      </c>
      <c r="H75" s="2">
        <v>885</v>
      </c>
      <c r="I75" t="s">
        <v>25</v>
      </c>
      <c r="J75" s="7">
        <f t="shared" si="4"/>
        <v>4.8145562005230801E-3</v>
      </c>
      <c r="K75" s="4">
        <f>SUM($J$2:J75)</f>
        <v>0.87589734888505133</v>
      </c>
      <c r="L75" t="str">
        <f t="shared" si="5"/>
        <v>B</v>
      </c>
    </row>
    <row r="76" spans="1:12" x14ac:dyDescent="0.2">
      <c r="A76" t="s">
        <v>144</v>
      </c>
      <c r="B76" t="s">
        <v>145</v>
      </c>
      <c r="C76" t="s">
        <v>75</v>
      </c>
      <c r="D76" t="s">
        <v>23</v>
      </c>
      <c r="E76" t="s">
        <v>58</v>
      </c>
      <c r="F76" s="2">
        <v>1405509</v>
      </c>
      <c r="G76" s="3">
        <v>95.2</v>
      </c>
      <c r="H76" s="2">
        <v>5227</v>
      </c>
      <c r="I76" t="s">
        <v>25</v>
      </c>
      <c r="J76" s="7">
        <f t="shared" si="4"/>
        <v>4.8109450198078399E-3</v>
      </c>
      <c r="K76" s="4">
        <f>SUM($J$2:J76)</f>
        <v>0.88070829390485916</v>
      </c>
      <c r="L76" t="str">
        <f t="shared" si="5"/>
        <v>B</v>
      </c>
    </row>
    <row r="77" spans="1:12" x14ac:dyDescent="0.2">
      <c r="A77" t="s">
        <v>118</v>
      </c>
      <c r="B77" t="s">
        <v>119</v>
      </c>
      <c r="C77" t="s">
        <v>75</v>
      </c>
      <c r="D77" t="s">
        <v>70</v>
      </c>
      <c r="E77" t="s">
        <v>24</v>
      </c>
      <c r="F77" s="2">
        <v>1292882</v>
      </c>
      <c r="G77" s="3">
        <v>57.1</v>
      </c>
      <c r="H77" s="2">
        <v>248</v>
      </c>
      <c r="I77" t="s">
        <v>25</v>
      </c>
      <c r="J77" s="7">
        <f t="shared" si="4"/>
        <v>4.4254317966652646E-3</v>
      </c>
      <c r="K77" s="4">
        <f>SUM($J$2:J77)</f>
        <v>0.88513372570152438</v>
      </c>
      <c r="L77" t="str">
        <f t="shared" si="5"/>
        <v>B</v>
      </c>
    </row>
    <row r="78" spans="1:12" x14ac:dyDescent="0.2">
      <c r="A78" t="s">
        <v>9</v>
      </c>
      <c r="B78" t="s">
        <v>10</v>
      </c>
      <c r="C78" t="s">
        <v>11</v>
      </c>
      <c r="D78" t="s">
        <v>12</v>
      </c>
      <c r="E78" t="s">
        <v>13</v>
      </c>
      <c r="F78" s="2">
        <v>1268156</v>
      </c>
      <c r="G78" s="3">
        <v>100</v>
      </c>
      <c r="H78" s="2">
        <v>81</v>
      </c>
      <c r="I78" t="s">
        <v>14</v>
      </c>
      <c r="J78" s="7">
        <f t="shared" si="4"/>
        <v>4.3407966740443716E-3</v>
      </c>
      <c r="K78" s="4">
        <f>SUM($J$2:J78)</f>
        <v>0.88947452237556879</v>
      </c>
      <c r="L78" t="str">
        <f t="shared" si="5"/>
        <v>B</v>
      </c>
    </row>
    <row r="79" spans="1:12" x14ac:dyDescent="0.2">
      <c r="A79" t="s">
        <v>194</v>
      </c>
      <c r="B79" t="s">
        <v>195</v>
      </c>
      <c r="C79" t="s">
        <v>17</v>
      </c>
      <c r="D79" t="s">
        <v>39</v>
      </c>
      <c r="E79" t="s">
        <v>13</v>
      </c>
      <c r="F79" s="2">
        <v>1172222</v>
      </c>
      <c r="G79" s="3">
        <v>85.7</v>
      </c>
      <c r="H79" s="2">
        <v>75</v>
      </c>
      <c r="I79" t="s">
        <v>20</v>
      </c>
      <c r="J79" s="7">
        <f t="shared" si="4"/>
        <v>4.0124222562852212E-3</v>
      </c>
      <c r="K79" s="4">
        <f>SUM($J$2:J79)</f>
        <v>0.89348694463185396</v>
      </c>
      <c r="L79" t="str">
        <f t="shared" si="5"/>
        <v>B</v>
      </c>
    </row>
    <row r="80" spans="1:12" x14ac:dyDescent="0.2">
      <c r="A80" t="s">
        <v>178</v>
      </c>
      <c r="B80" t="s">
        <v>179</v>
      </c>
      <c r="C80" t="s">
        <v>11</v>
      </c>
      <c r="D80" t="s">
        <v>70</v>
      </c>
      <c r="E80" t="s">
        <v>19</v>
      </c>
      <c r="F80" s="2">
        <v>1150286</v>
      </c>
      <c r="G80" s="3">
        <v>58.3</v>
      </c>
      <c r="H80" s="2">
        <v>1048</v>
      </c>
      <c r="I80" t="s">
        <v>20</v>
      </c>
      <c r="J80" s="7">
        <f t="shared" si="4"/>
        <v>3.9373370807690884E-3</v>
      </c>
      <c r="K80" s="4">
        <f>SUM($J$2:J80)</f>
        <v>0.89742428171262301</v>
      </c>
      <c r="L80" t="str">
        <f t="shared" si="5"/>
        <v>B</v>
      </c>
    </row>
    <row r="81" spans="1:12" x14ac:dyDescent="0.2">
      <c r="A81" t="s">
        <v>116</v>
      </c>
      <c r="B81" t="s">
        <v>117</v>
      </c>
      <c r="C81" t="s">
        <v>75</v>
      </c>
      <c r="D81" t="s">
        <v>39</v>
      </c>
      <c r="E81" t="s">
        <v>19</v>
      </c>
      <c r="F81" s="2">
        <v>1138729</v>
      </c>
      <c r="G81" s="3">
        <v>46.2</v>
      </c>
      <c r="H81" s="2">
        <v>550</v>
      </c>
      <c r="I81" t="s">
        <v>25</v>
      </c>
      <c r="J81" s="7">
        <f t="shared" si="4"/>
        <v>3.8977783930666835E-3</v>
      </c>
      <c r="K81" s="4">
        <f>SUM($J$2:J81)</f>
        <v>0.90132206010568972</v>
      </c>
      <c r="L81" t="str">
        <f t="shared" si="5"/>
        <v>B</v>
      </c>
    </row>
    <row r="82" spans="1:12" x14ac:dyDescent="0.2">
      <c r="A82" t="s">
        <v>264</v>
      </c>
      <c r="B82" t="s">
        <v>265</v>
      </c>
      <c r="C82" t="s">
        <v>11</v>
      </c>
      <c r="D82" t="s">
        <v>18</v>
      </c>
      <c r="E82" t="s">
        <v>13</v>
      </c>
      <c r="F82" s="2">
        <v>1113399</v>
      </c>
      <c r="G82" s="3">
        <v>100</v>
      </c>
      <c r="H82" s="2">
        <v>288</v>
      </c>
      <c r="I82" t="s">
        <v>20</v>
      </c>
      <c r="J82" s="7">
        <f t="shared" si="4"/>
        <v>3.8110758266998142E-3</v>
      </c>
      <c r="K82" s="4">
        <f>SUM($J$2:J82)</f>
        <v>0.90513313593238953</v>
      </c>
      <c r="L82" t="str">
        <f t="shared" si="5"/>
        <v>B</v>
      </c>
    </row>
    <row r="83" spans="1:12" x14ac:dyDescent="0.2">
      <c r="A83" t="s">
        <v>162</v>
      </c>
      <c r="B83" t="s">
        <v>163</v>
      </c>
      <c r="C83" t="s">
        <v>63</v>
      </c>
      <c r="D83" t="s">
        <v>18</v>
      </c>
      <c r="E83" t="s">
        <v>24</v>
      </c>
      <c r="F83" s="2">
        <v>1111745</v>
      </c>
      <c r="G83" s="3">
        <v>80</v>
      </c>
      <c r="H83" s="2">
        <v>74</v>
      </c>
      <c r="I83" t="s">
        <v>45</v>
      </c>
      <c r="J83" s="7">
        <f t="shared" si="4"/>
        <v>3.8054143168391426E-3</v>
      </c>
      <c r="K83" s="4">
        <f>SUM($J$2:J83)</f>
        <v>0.90893855024922865</v>
      </c>
      <c r="L83" t="str">
        <f t="shared" si="5"/>
        <v>B</v>
      </c>
    </row>
    <row r="84" spans="1:12" x14ac:dyDescent="0.2">
      <c r="A84" t="s">
        <v>218</v>
      </c>
      <c r="B84" t="s">
        <v>219</v>
      </c>
      <c r="C84" t="s">
        <v>28</v>
      </c>
      <c r="D84" t="s">
        <v>29</v>
      </c>
      <c r="E84" t="s">
        <v>24</v>
      </c>
      <c r="F84" s="2">
        <v>1093804</v>
      </c>
      <c r="G84" s="3">
        <v>69.2</v>
      </c>
      <c r="H84" s="2">
        <v>81</v>
      </c>
      <c r="I84" t="s">
        <v>45</v>
      </c>
      <c r="J84" s="7">
        <f t="shared" si="4"/>
        <v>3.7440037071593949E-3</v>
      </c>
      <c r="K84" s="4">
        <f>SUM($J$2:J84)</f>
        <v>0.91268255395638809</v>
      </c>
      <c r="L84" t="str">
        <f t="shared" si="5"/>
        <v>B</v>
      </c>
    </row>
    <row r="85" spans="1:12" x14ac:dyDescent="0.2">
      <c r="A85" t="s">
        <v>56</v>
      </c>
      <c r="B85" t="s">
        <v>57</v>
      </c>
      <c r="C85" t="s">
        <v>17</v>
      </c>
      <c r="D85" t="s">
        <v>39</v>
      </c>
      <c r="E85" t="s">
        <v>58</v>
      </c>
      <c r="F85" s="2">
        <v>1061536</v>
      </c>
      <c r="G85" s="3">
        <v>90.9</v>
      </c>
      <c r="H85" s="2">
        <v>503</v>
      </c>
      <c r="I85" t="s">
        <v>30</v>
      </c>
      <c r="J85" s="7">
        <f t="shared" si="4"/>
        <v>3.6335529210746675E-3</v>
      </c>
      <c r="K85" s="4">
        <f>SUM($J$2:J85)</f>
        <v>0.91631610687746279</v>
      </c>
      <c r="L85" t="str">
        <f t="shared" si="5"/>
        <v>B</v>
      </c>
    </row>
    <row r="86" spans="1:12" x14ac:dyDescent="0.2">
      <c r="A86" t="s">
        <v>130</v>
      </c>
      <c r="B86" t="s">
        <v>131</v>
      </c>
      <c r="C86" t="s">
        <v>11</v>
      </c>
      <c r="D86" t="s">
        <v>18</v>
      </c>
      <c r="E86" t="s">
        <v>19</v>
      </c>
      <c r="F86" s="2">
        <v>1055719</v>
      </c>
      <c r="G86" s="3">
        <v>76.900000000000006</v>
      </c>
      <c r="H86" s="2">
        <v>725</v>
      </c>
      <c r="I86" t="s">
        <v>20</v>
      </c>
      <c r="J86" s="7">
        <f t="shared" si="4"/>
        <v>3.6136417947992597E-3</v>
      </c>
      <c r="K86" s="4">
        <f>SUM($J$2:J86)</f>
        <v>0.91992974867226207</v>
      </c>
      <c r="L86" t="str">
        <f t="shared" si="5"/>
        <v>B</v>
      </c>
    </row>
    <row r="87" spans="1:12" x14ac:dyDescent="0.2">
      <c r="A87" t="s">
        <v>184</v>
      </c>
      <c r="B87" t="s">
        <v>185</v>
      </c>
      <c r="C87" t="s">
        <v>11</v>
      </c>
      <c r="D87" t="s">
        <v>39</v>
      </c>
      <c r="E87" t="s">
        <v>24</v>
      </c>
      <c r="F87" s="2">
        <v>1037511</v>
      </c>
      <c r="G87" s="3">
        <v>70</v>
      </c>
      <c r="H87" s="2">
        <v>116</v>
      </c>
      <c r="I87" t="s">
        <v>45</v>
      </c>
      <c r="J87" s="7">
        <f t="shared" si="4"/>
        <v>3.551317265450347E-3</v>
      </c>
      <c r="K87" s="4">
        <f>SUM($J$2:J87)</f>
        <v>0.9234810659377124</v>
      </c>
      <c r="L87" t="str">
        <f t="shared" si="5"/>
        <v>B</v>
      </c>
    </row>
    <row r="88" spans="1:12" x14ac:dyDescent="0.2">
      <c r="A88" t="s">
        <v>21</v>
      </c>
      <c r="B88" t="s">
        <v>22</v>
      </c>
      <c r="C88" t="s">
        <v>11</v>
      </c>
      <c r="D88" t="s">
        <v>23</v>
      </c>
      <c r="E88" t="s">
        <v>24</v>
      </c>
      <c r="F88" s="2">
        <v>1011810</v>
      </c>
      <c r="G88" s="3">
        <v>80</v>
      </c>
      <c r="H88" s="2">
        <v>0</v>
      </c>
      <c r="I88" t="s">
        <v>25</v>
      </c>
      <c r="J88" s="7">
        <f t="shared" si="4"/>
        <v>3.4633447957229517E-3</v>
      </c>
      <c r="K88" s="4">
        <f>SUM($J$2:J88)</f>
        <v>0.92694441073343536</v>
      </c>
      <c r="L88" t="str">
        <f t="shared" si="5"/>
        <v>B</v>
      </c>
    </row>
    <row r="89" spans="1:12" x14ac:dyDescent="0.2">
      <c r="A89" t="s">
        <v>166</v>
      </c>
      <c r="B89" t="s">
        <v>167</v>
      </c>
      <c r="C89" t="s">
        <v>17</v>
      </c>
      <c r="D89" t="s">
        <v>18</v>
      </c>
      <c r="E89" t="s">
        <v>58</v>
      </c>
      <c r="F89" s="2">
        <v>1005997</v>
      </c>
      <c r="G89" s="3">
        <v>100</v>
      </c>
      <c r="H89" s="2">
        <v>5294</v>
      </c>
      <c r="I89" t="s">
        <v>25</v>
      </c>
      <c r="J89" s="7">
        <f t="shared" si="4"/>
        <v>3.4434473611279809E-3</v>
      </c>
      <c r="K89" s="4">
        <f>SUM($J$2:J89)</f>
        <v>0.93038785809456337</v>
      </c>
      <c r="L89" t="str">
        <f t="shared" si="5"/>
        <v>B</v>
      </c>
    </row>
    <row r="90" spans="1:12" x14ac:dyDescent="0.2">
      <c r="A90" t="s">
        <v>170</v>
      </c>
      <c r="B90" t="s">
        <v>171</v>
      </c>
      <c r="C90" t="s">
        <v>17</v>
      </c>
      <c r="D90" t="s">
        <v>53</v>
      </c>
      <c r="E90" t="s">
        <v>19</v>
      </c>
      <c r="F90" s="2">
        <v>997560</v>
      </c>
      <c r="G90" s="3">
        <v>72.7</v>
      </c>
      <c r="H90" s="2">
        <v>1095</v>
      </c>
      <c r="I90" t="s">
        <v>45</v>
      </c>
      <c r="J90" s="7">
        <f t="shared" si="4"/>
        <v>3.4145681841663829E-3</v>
      </c>
      <c r="K90" s="4">
        <f>SUM($J$2:J90)</f>
        <v>0.93380242627872978</v>
      </c>
      <c r="L90" t="str">
        <f t="shared" si="5"/>
        <v>B</v>
      </c>
    </row>
    <row r="91" spans="1:12" x14ac:dyDescent="0.2">
      <c r="A91" t="s">
        <v>64</v>
      </c>
      <c r="B91" t="s">
        <v>65</v>
      </c>
      <c r="C91" t="s">
        <v>11</v>
      </c>
      <c r="D91" t="s">
        <v>23</v>
      </c>
      <c r="E91" t="s">
        <v>19</v>
      </c>
      <c r="F91" s="2">
        <v>972085</v>
      </c>
      <c r="G91" s="3">
        <v>64.3</v>
      </c>
      <c r="H91" s="2">
        <v>4586</v>
      </c>
      <c r="I91" t="s">
        <v>25</v>
      </c>
      <c r="J91" s="7">
        <f t="shared" si="4"/>
        <v>3.3273692943836743E-3</v>
      </c>
      <c r="K91" s="4">
        <f>SUM($J$2:J91)</f>
        <v>0.93712979557311349</v>
      </c>
      <c r="L91" t="str">
        <f t="shared" si="5"/>
        <v>B</v>
      </c>
    </row>
    <row r="92" spans="1:12" x14ac:dyDescent="0.2">
      <c r="A92" t="s">
        <v>98</v>
      </c>
      <c r="B92" t="s">
        <v>99</v>
      </c>
      <c r="C92" t="s">
        <v>28</v>
      </c>
      <c r="D92" t="s">
        <v>34</v>
      </c>
      <c r="E92" t="s">
        <v>58</v>
      </c>
      <c r="F92" s="2">
        <v>962516</v>
      </c>
      <c r="G92" s="3">
        <v>100</v>
      </c>
      <c r="H92" s="2">
        <v>1082</v>
      </c>
      <c r="I92" t="s">
        <v>20</v>
      </c>
      <c r="J92" s="7">
        <f t="shared" si="4"/>
        <v>3.2946153718584246E-3</v>
      </c>
      <c r="K92" s="4">
        <f>SUM($J$2:J92)</f>
        <v>0.94042441094497187</v>
      </c>
      <c r="L92" t="str">
        <f t="shared" si="5"/>
        <v>B</v>
      </c>
    </row>
    <row r="93" spans="1:12" x14ac:dyDescent="0.2">
      <c r="A93" t="s">
        <v>156</v>
      </c>
      <c r="B93" t="s">
        <v>157</v>
      </c>
      <c r="C93" t="s">
        <v>28</v>
      </c>
      <c r="D93" t="s">
        <v>34</v>
      </c>
      <c r="E93" t="s">
        <v>13</v>
      </c>
      <c r="F93" s="2">
        <v>948328</v>
      </c>
      <c r="G93" s="3">
        <v>100</v>
      </c>
      <c r="H93" s="2">
        <v>57</v>
      </c>
      <c r="I93" t="s">
        <v>14</v>
      </c>
      <c r="J93" s="7">
        <f t="shared" si="4"/>
        <v>3.2460509813486281E-3</v>
      </c>
      <c r="K93" s="4">
        <f>SUM($J$2:J93)</f>
        <v>0.94367046192632054</v>
      </c>
      <c r="L93" t="str">
        <f t="shared" si="5"/>
        <v>B</v>
      </c>
    </row>
    <row r="94" spans="1:12" x14ac:dyDescent="0.2">
      <c r="A94" t="s">
        <v>40</v>
      </c>
      <c r="B94" t="s">
        <v>41</v>
      </c>
      <c r="C94" t="s">
        <v>11</v>
      </c>
      <c r="D94" t="s">
        <v>34</v>
      </c>
      <c r="E94" t="s">
        <v>24</v>
      </c>
      <c r="F94" s="2">
        <v>872158</v>
      </c>
      <c r="G94" s="3">
        <v>33.299999999999997</v>
      </c>
      <c r="H94" s="2">
        <v>211</v>
      </c>
      <c r="I94" t="s">
        <v>30</v>
      </c>
      <c r="J94" s="7">
        <f t="shared" si="4"/>
        <v>2.9853271566283573E-3</v>
      </c>
      <c r="K94" s="4">
        <f>SUM($J$2:J94)</f>
        <v>0.9466557890829489</v>
      </c>
      <c r="L94" t="str">
        <f t="shared" si="5"/>
        <v>B</v>
      </c>
    </row>
    <row r="95" spans="1:12" x14ac:dyDescent="0.2">
      <c r="A95" t="s">
        <v>126</v>
      </c>
      <c r="B95" t="s">
        <v>127</v>
      </c>
      <c r="C95" t="s">
        <v>11</v>
      </c>
      <c r="D95" t="s">
        <v>29</v>
      </c>
      <c r="E95" t="s">
        <v>13</v>
      </c>
      <c r="F95" s="2">
        <v>849030</v>
      </c>
      <c r="G95" s="3">
        <v>100</v>
      </c>
      <c r="H95" s="2">
        <v>167</v>
      </c>
      <c r="I95" t="s">
        <v>25</v>
      </c>
      <c r="J95" s="7">
        <f t="shared" si="4"/>
        <v>2.9061618603420185E-3</v>
      </c>
      <c r="K95" s="4">
        <f>SUM($J$2:J95)</f>
        <v>0.94956195094329088</v>
      </c>
      <c r="L95" t="str">
        <f t="shared" si="5"/>
        <v>B</v>
      </c>
    </row>
    <row r="96" spans="1:12" x14ac:dyDescent="0.2">
      <c r="A96" t="s">
        <v>146</v>
      </c>
      <c r="B96" t="s">
        <v>147</v>
      </c>
      <c r="C96" t="s">
        <v>63</v>
      </c>
      <c r="D96" t="s">
        <v>23</v>
      </c>
      <c r="E96" t="s">
        <v>13</v>
      </c>
      <c r="F96" s="2">
        <v>847714</v>
      </c>
      <c r="G96" s="3">
        <v>100</v>
      </c>
      <c r="H96" s="2">
        <v>83</v>
      </c>
      <c r="I96" t="s">
        <v>25</v>
      </c>
      <c r="J96" s="7">
        <f t="shared" si="4"/>
        <v>2.9016572974782679E-3</v>
      </c>
      <c r="K96" s="4">
        <f>SUM($J$2:J96)</f>
        <v>0.95246360824076914</v>
      </c>
      <c r="L96" t="str">
        <f t="shared" si="5"/>
        <v>C</v>
      </c>
    </row>
    <row r="97" spans="1:12" x14ac:dyDescent="0.2">
      <c r="A97" t="s">
        <v>254</v>
      </c>
      <c r="B97" t="s">
        <v>255</v>
      </c>
      <c r="C97" t="s">
        <v>11</v>
      </c>
      <c r="D97" t="s">
        <v>34</v>
      </c>
      <c r="E97" t="s">
        <v>24</v>
      </c>
      <c r="F97" s="2">
        <v>847410</v>
      </c>
      <c r="G97" s="3">
        <v>16.7</v>
      </c>
      <c r="H97" s="2">
        <v>73</v>
      </c>
      <c r="I97" t="s">
        <v>25</v>
      </c>
      <c r="J97" s="7">
        <f t="shared" si="4"/>
        <v>2.9006167297650613E-3</v>
      </c>
      <c r="K97" s="4">
        <f>SUM($J$2:J97)</f>
        <v>0.95536422497053419</v>
      </c>
      <c r="L97" t="str">
        <f t="shared" si="5"/>
        <v>C</v>
      </c>
    </row>
    <row r="98" spans="1:12" x14ac:dyDescent="0.2">
      <c r="A98" t="s">
        <v>230</v>
      </c>
      <c r="B98" t="s">
        <v>231</v>
      </c>
      <c r="C98" t="s">
        <v>17</v>
      </c>
      <c r="D98" t="s">
        <v>39</v>
      </c>
      <c r="E98" t="s">
        <v>19</v>
      </c>
      <c r="F98" s="2">
        <v>840934</v>
      </c>
      <c r="G98" s="3">
        <v>50</v>
      </c>
      <c r="H98" s="2">
        <v>1333</v>
      </c>
      <c r="I98" t="s">
        <v>45</v>
      </c>
      <c r="J98" s="7">
        <f t="shared" ref="J98:J121" si="6">F98/SUM($F$2:$F$121)</f>
        <v>2.8784498991376688E-3</v>
      </c>
      <c r="K98" s="4">
        <f>SUM($J$2:J98)</f>
        <v>0.95824267486967185</v>
      </c>
      <c r="L98" t="str">
        <f t="shared" ref="L98:L129" si="7">IF(K98&lt;=80%,"A",IF(K98&lt;=95%,"B","C"))</f>
        <v>C</v>
      </c>
    </row>
    <row r="99" spans="1:12" x14ac:dyDescent="0.2">
      <c r="A99" t="s">
        <v>262</v>
      </c>
      <c r="B99" t="s">
        <v>263</v>
      </c>
      <c r="C99" t="s">
        <v>17</v>
      </c>
      <c r="D99" t="s">
        <v>70</v>
      </c>
      <c r="E99" t="s">
        <v>58</v>
      </c>
      <c r="F99" s="2">
        <v>832309</v>
      </c>
      <c r="G99" s="3">
        <v>100</v>
      </c>
      <c r="H99" s="2">
        <v>4103</v>
      </c>
      <c r="I99" t="s">
        <v>30</v>
      </c>
      <c r="J99" s="7">
        <f t="shared" si="6"/>
        <v>2.8489272131955348E-3</v>
      </c>
      <c r="K99" s="4">
        <f>SUM($J$2:J99)</f>
        <v>0.96109160208286737</v>
      </c>
      <c r="L99" t="str">
        <f t="shared" si="7"/>
        <v>C</v>
      </c>
    </row>
    <row r="100" spans="1:12" x14ac:dyDescent="0.2">
      <c r="A100" t="s">
        <v>138</v>
      </c>
      <c r="B100" t="s">
        <v>139</v>
      </c>
      <c r="C100" t="s">
        <v>11</v>
      </c>
      <c r="D100" t="s">
        <v>53</v>
      </c>
      <c r="E100" t="s">
        <v>24</v>
      </c>
      <c r="F100" s="2">
        <v>779982</v>
      </c>
      <c r="G100" s="3">
        <v>83.3</v>
      </c>
      <c r="H100" s="2">
        <v>303</v>
      </c>
      <c r="I100" t="s">
        <v>45</v>
      </c>
      <c r="J100" s="7">
        <f t="shared" si="6"/>
        <v>2.6698160726397044E-3</v>
      </c>
      <c r="K100" s="4">
        <f>SUM($J$2:J100)</f>
        <v>0.96376141815550709</v>
      </c>
      <c r="L100" t="str">
        <f t="shared" si="7"/>
        <v>C</v>
      </c>
    </row>
    <row r="101" spans="1:12" x14ac:dyDescent="0.2">
      <c r="A101" t="s">
        <v>174</v>
      </c>
      <c r="B101" t="s">
        <v>175</v>
      </c>
      <c r="C101" t="s">
        <v>63</v>
      </c>
      <c r="D101" t="s">
        <v>39</v>
      </c>
      <c r="E101" t="s">
        <v>13</v>
      </c>
      <c r="F101" s="2">
        <v>706783</v>
      </c>
      <c r="G101" s="3">
        <v>100</v>
      </c>
      <c r="H101" s="2">
        <v>110</v>
      </c>
      <c r="I101" t="s">
        <v>30</v>
      </c>
      <c r="J101" s="7">
        <f t="shared" si="6"/>
        <v>2.4192617435639645E-3</v>
      </c>
      <c r="K101" s="4">
        <f>SUM($J$2:J101)</f>
        <v>0.96618067989907108</v>
      </c>
      <c r="L101" t="str">
        <f t="shared" si="7"/>
        <v>C</v>
      </c>
    </row>
    <row r="102" spans="1:12" x14ac:dyDescent="0.2">
      <c r="A102" t="s">
        <v>122</v>
      </c>
      <c r="B102" t="s">
        <v>123</v>
      </c>
      <c r="C102" t="s">
        <v>11</v>
      </c>
      <c r="D102" t="s">
        <v>53</v>
      </c>
      <c r="E102" t="s">
        <v>58</v>
      </c>
      <c r="F102" s="2">
        <v>691913</v>
      </c>
      <c r="G102" s="3">
        <v>90.9</v>
      </c>
      <c r="H102" s="2">
        <v>1193</v>
      </c>
      <c r="I102" t="s">
        <v>45</v>
      </c>
      <c r="J102" s="7">
        <f t="shared" si="6"/>
        <v>2.3683629215396711E-3</v>
      </c>
      <c r="K102" s="4">
        <f>SUM($J$2:J102)</f>
        <v>0.96854904282061072</v>
      </c>
      <c r="L102" t="str">
        <f t="shared" si="7"/>
        <v>C</v>
      </c>
    </row>
    <row r="103" spans="1:12" x14ac:dyDescent="0.2">
      <c r="A103" t="s">
        <v>232</v>
      </c>
      <c r="B103" t="s">
        <v>233</v>
      </c>
      <c r="C103" t="s">
        <v>63</v>
      </c>
      <c r="D103" t="s">
        <v>70</v>
      </c>
      <c r="E103" t="s">
        <v>19</v>
      </c>
      <c r="F103" s="2">
        <v>659886</v>
      </c>
      <c r="G103" s="3">
        <v>75</v>
      </c>
      <c r="H103" s="2">
        <v>1143</v>
      </c>
      <c r="I103" t="s">
        <v>45</v>
      </c>
      <c r="J103" s="7">
        <f t="shared" si="6"/>
        <v>2.2587370592012687E-3</v>
      </c>
      <c r="K103" s="4">
        <f>SUM($J$2:J103)</f>
        <v>0.97080777987981204</v>
      </c>
      <c r="L103" t="str">
        <f t="shared" si="7"/>
        <v>C</v>
      </c>
    </row>
    <row r="104" spans="1:12" x14ac:dyDescent="0.2">
      <c r="A104" t="s">
        <v>124</v>
      </c>
      <c r="B104" t="s">
        <v>125</v>
      </c>
      <c r="C104" t="s">
        <v>11</v>
      </c>
      <c r="D104" t="s">
        <v>29</v>
      </c>
      <c r="E104" t="s">
        <v>58</v>
      </c>
      <c r="F104" s="2">
        <v>652473</v>
      </c>
      <c r="G104" s="3">
        <v>87.5</v>
      </c>
      <c r="H104" s="2">
        <v>616</v>
      </c>
      <c r="I104" t="s">
        <v>20</v>
      </c>
      <c r="J104" s="7">
        <f t="shared" si="6"/>
        <v>2.2333629524315252E-3</v>
      </c>
      <c r="K104" s="4">
        <f>SUM($J$2:J104)</f>
        <v>0.97304114283224352</v>
      </c>
      <c r="L104" t="str">
        <f t="shared" si="7"/>
        <v>C</v>
      </c>
    </row>
    <row r="105" spans="1:12" x14ac:dyDescent="0.2">
      <c r="A105" t="s">
        <v>244</v>
      </c>
      <c r="B105" t="s">
        <v>245</v>
      </c>
      <c r="C105" t="s">
        <v>63</v>
      </c>
      <c r="D105" t="s">
        <v>53</v>
      </c>
      <c r="E105" t="s">
        <v>13</v>
      </c>
      <c r="F105" s="2">
        <v>651488</v>
      </c>
      <c r="G105" s="3">
        <v>88.9</v>
      </c>
      <c r="H105" s="2">
        <v>213</v>
      </c>
      <c r="I105" t="s">
        <v>30</v>
      </c>
      <c r="J105" s="7">
        <f t="shared" si="6"/>
        <v>2.2299913761239308E-3</v>
      </c>
      <c r="K105" s="4">
        <f>SUM($J$2:J105)</f>
        <v>0.97527113420836742</v>
      </c>
      <c r="L105" t="str">
        <f t="shared" si="7"/>
        <v>C</v>
      </c>
    </row>
    <row r="106" spans="1:12" x14ac:dyDescent="0.2">
      <c r="A106" t="s">
        <v>82</v>
      </c>
      <c r="B106" t="s">
        <v>83</v>
      </c>
      <c r="C106" t="s">
        <v>11</v>
      </c>
      <c r="D106" t="s">
        <v>53</v>
      </c>
      <c r="E106" t="s">
        <v>24</v>
      </c>
      <c r="F106" s="2">
        <v>649690</v>
      </c>
      <c r="G106" s="3">
        <v>83.3</v>
      </c>
      <c r="H106" s="2">
        <v>133</v>
      </c>
      <c r="I106" t="s">
        <v>25</v>
      </c>
      <c r="J106" s="7">
        <f t="shared" si="6"/>
        <v>2.2238369657675301E-3</v>
      </c>
      <c r="K106" s="4">
        <f>SUM($J$2:J106)</f>
        <v>0.97749497117413497</v>
      </c>
      <c r="L106" t="str">
        <f t="shared" si="7"/>
        <v>C</v>
      </c>
    </row>
    <row r="107" spans="1:12" x14ac:dyDescent="0.2">
      <c r="A107" t="s">
        <v>270</v>
      </c>
      <c r="B107" t="s">
        <v>271</v>
      </c>
      <c r="C107" t="s">
        <v>75</v>
      </c>
      <c r="D107" t="s">
        <v>29</v>
      </c>
      <c r="E107" t="s">
        <v>13</v>
      </c>
      <c r="F107" s="2">
        <v>630560</v>
      </c>
      <c r="G107" s="3">
        <v>100</v>
      </c>
      <c r="H107" s="2">
        <v>70</v>
      </c>
      <c r="I107" t="s">
        <v>30</v>
      </c>
      <c r="J107" s="7">
        <f t="shared" si="6"/>
        <v>2.1583565040779046E-3</v>
      </c>
      <c r="K107" s="4">
        <f>SUM($J$2:J107)</f>
        <v>0.97965332767821289</v>
      </c>
      <c r="L107" t="str">
        <f t="shared" si="7"/>
        <v>C</v>
      </c>
    </row>
    <row r="108" spans="1:12" x14ac:dyDescent="0.2">
      <c r="A108" t="s">
        <v>222</v>
      </c>
      <c r="B108" t="s">
        <v>223</v>
      </c>
      <c r="C108" t="s">
        <v>11</v>
      </c>
      <c r="D108" t="s">
        <v>70</v>
      </c>
      <c r="E108" t="s">
        <v>19</v>
      </c>
      <c r="F108" s="2">
        <v>623639</v>
      </c>
      <c r="G108" s="3">
        <v>66.7</v>
      </c>
      <c r="H108" s="2">
        <v>602</v>
      </c>
      <c r="I108" t="s">
        <v>20</v>
      </c>
      <c r="J108" s="7">
        <f t="shared" si="6"/>
        <v>2.1346664740019036E-3</v>
      </c>
      <c r="K108" s="4">
        <f>SUM($J$2:J108)</f>
        <v>0.98178799415221485</v>
      </c>
      <c r="L108" t="str">
        <f t="shared" si="7"/>
        <v>C</v>
      </c>
    </row>
    <row r="109" spans="1:12" x14ac:dyDescent="0.2">
      <c r="A109" t="s">
        <v>66</v>
      </c>
      <c r="B109" t="s">
        <v>67</v>
      </c>
      <c r="C109" t="s">
        <v>11</v>
      </c>
      <c r="D109" t="s">
        <v>23</v>
      </c>
      <c r="E109" t="s">
        <v>24</v>
      </c>
      <c r="F109" s="2">
        <v>543136</v>
      </c>
      <c r="G109" s="3">
        <v>80</v>
      </c>
      <c r="H109" s="2">
        <v>0</v>
      </c>
      <c r="I109" t="s">
        <v>45</v>
      </c>
      <c r="J109" s="7">
        <f t="shared" si="6"/>
        <v>1.8591111364483265E-3</v>
      </c>
      <c r="K109" s="4">
        <f>SUM($J$2:J109)</f>
        <v>0.98364710528866317</v>
      </c>
      <c r="L109" t="str">
        <f t="shared" si="7"/>
        <v>C</v>
      </c>
    </row>
    <row r="110" spans="1:12" x14ac:dyDescent="0.2">
      <c r="A110" t="s">
        <v>160</v>
      </c>
      <c r="B110" t="s">
        <v>161</v>
      </c>
      <c r="C110" t="s">
        <v>11</v>
      </c>
      <c r="D110" t="s">
        <v>34</v>
      </c>
      <c r="E110" t="s">
        <v>24</v>
      </c>
      <c r="F110" s="2">
        <v>535293</v>
      </c>
      <c r="G110" s="3">
        <v>71.400000000000006</v>
      </c>
      <c r="H110" s="2">
        <v>93</v>
      </c>
      <c r="I110" t="s">
        <v>30</v>
      </c>
      <c r="J110" s="7">
        <f t="shared" si="6"/>
        <v>1.8322651740316127E-3</v>
      </c>
      <c r="K110" s="4">
        <f>SUM($J$2:J110)</f>
        <v>0.98547937046269474</v>
      </c>
      <c r="L110" t="str">
        <f t="shared" si="7"/>
        <v>C</v>
      </c>
    </row>
    <row r="111" spans="1:12" x14ac:dyDescent="0.2">
      <c r="A111" t="s">
        <v>240</v>
      </c>
      <c r="B111" t="s">
        <v>241</v>
      </c>
      <c r="C111" t="s">
        <v>11</v>
      </c>
      <c r="D111" t="s">
        <v>39</v>
      </c>
      <c r="E111" t="s">
        <v>58</v>
      </c>
      <c r="F111" s="2">
        <v>507867</v>
      </c>
      <c r="G111" s="3">
        <v>90.9</v>
      </c>
      <c r="H111" s="2">
        <v>5338</v>
      </c>
      <c r="I111" t="s">
        <v>30</v>
      </c>
      <c r="J111" s="7">
        <f t="shared" si="6"/>
        <v>1.7383881671157908E-3</v>
      </c>
      <c r="K111" s="4">
        <f>SUM($J$2:J111)</f>
        <v>0.98721775862981054</v>
      </c>
      <c r="L111" t="str">
        <f t="shared" si="7"/>
        <v>C</v>
      </c>
    </row>
    <row r="112" spans="1:12" x14ac:dyDescent="0.2">
      <c r="A112" t="s">
        <v>242</v>
      </c>
      <c r="B112" t="s">
        <v>243</v>
      </c>
      <c r="C112" t="s">
        <v>11</v>
      </c>
      <c r="D112" t="s">
        <v>34</v>
      </c>
      <c r="E112" t="s">
        <v>13</v>
      </c>
      <c r="F112" s="2">
        <v>426144</v>
      </c>
      <c r="G112" s="3">
        <v>100</v>
      </c>
      <c r="H112" s="2">
        <v>0</v>
      </c>
      <c r="I112" t="s">
        <v>45</v>
      </c>
      <c r="J112" s="7">
        <f t="shared" si="6"/>
        <v>1.4586568670289497E-3</v>
      </c>
      <c r="K112" s="4">
        <f>SUM($J$2:J112)</f>
        <v>0.98867641549683949</v>
      </c>
      <c r="L112" t="str">
        <f t="shared" si="7"/>
        <v>C</v>
      </c>
    </row>
    <row r="113" spans="1:12" x14ac:dyDescent="0.2">
      <c r="A113" t="s">
        <v>31</v>
      </c>
      <c r="B113" t="s">
        <v>32</v>
      </c>
      <c r="C113" t="s">
        <v>33</v>
      </c>
      <c r="D113" t="s">
        <v>34</v>
      </c>
      <c r="E113" t="s">
        <v>24</v>
      </c>
      <c r="F113" s="2">
        <v>420399</v>
      </c>
      <c r="G113" s="3">
        <v>83.3</v>
      </c>
      <c r="H113" s="2">
        <v>68</v>
      </c>
      <c r="I113" t="s">
        <v>25</v>
      </c>
      <c r="J113" s="7">
        <f t="shared" si="6"/>
        <v>1.4389921910014066E-3</v>
      </c>
      <c r="K113" s="4">
        <f>SUM($J$2:J113)</f>
        <v>0.9901154076878409</v>
      </c>
      <c r="L113" t="str">
        <f t="shared" si="7"/>
        <v>C</v>
      </c>
    </row>
    <row r="114" spans="1:12" x14ac:dyDescent="0.2">
      <c r="A114" t="s">
        <v>112</v>
      </c>
      <c r="B114" t="s">
        <v>113</v>
      </c>
      <c r="C114" t="s">
        <v>33</v>
      </c>
      <c r="D114" t="s">
        <v>29</v>
      </c>
      <c r="E114" t="s">
        <v>13</v>
      </c>
      <c r="F114" s="2">
        <v>415296</v>
      </c>
      <c r="G114" s="3">
        <v>100</v>
      </c>
      <c r="H114" s="2">
        <v>217</v>
      </c>
      <c r="I114" t="s">
        <v>45</v>
      </c>
      <c r="J114" s="7">
        <f t="shared" si="6"/>
        <v>1.421525029683991E-3</v>
      </c>
      <c r="K114" s="4">
        <f>SUM($J$2:J114)</f>
        <v>0.99153693271752485</v>
      </c>
      <c r="L114" t="str">
        <f t="shared" si="7"/>
        <v>C</v>
      </c>
    </row>
    <row r="115" spans="1:12" x14ac:dyDescent="0.2">
      <c r="A115" t="s">
        <v>224</v>
      </c>
      <c r="B115" t="s">
        <v>225</v>
      </c>
      <c r="C115" t="s">
        <v>75</v>
      </c>
      <c r="D115" t="s">
        <v>18</v>
      </c>
      <c r="E115" t="s">
        <v>13</v>
      </c>
      <c r="F115" s="2">
        <v>408703</v>
      </c>
      <c r="G115" s="3">
        <v>100</v>
      </c>
      <c r="H115" s="2">
        <v>0</v>
      </c>
      <c r="I115" t="s">
        <v>25</v>
      </c>
      <c r="J115" s="7">
        <f t="shared" si="6"/>
        <v>1.3989577174038186E-3</v>
      </c>
      <c r="K115" s="4">
        <f>SUM($J$2:J115)</f>
        <v>0.99293589043492869</v>
      </c>
      <c r="L115" t="str">
        <f t="shared" si="7"/>
        <v>C</v>
      </c>
    </row>
    <row r="116" spans="1:12" x14ac:dyDescent="0.2">
      <c r="A116" t="s">
        <v>142</v>
      </c>
      <c r="B116" t="s">
        <v>143</v>
      </c>
      <c r="C116" t="s">
        <v>17</v>
      </c>
      <c r="D116" t="s">
        <v>70</v>
      </c>
      <c r="E116" t="s">
        <v>24</v>
      </c>
      <c r="F116" s="2">
        <v>402479</v>
      </c>
      <c r="G116" s="3">
        <v>75</v>
      </c>
      <c r="H116" s="2">
        <v>0</v>
      </c>
      <c r="I116" t="s">
        <v>20</v>
      </c>
      <c r="J116" s="7">
        <f t="shared" si="6"/>
        <v>1.3776534626439528E-3</v>
      </c>
      <c r="K116" s="4">
        <f>SUM($J$2:J116)</f>
        <v>0.99431354389757265</v>
      </c>
      <c r="L116" t="str">
        <f t="shared" si="7"/>
        <v>C</v>
      </c>
    </row>
    <row r="117" spans="1:12" x14ac:dyDescent="0.2">
      <c r="A117" t="s">
        <v>37</v>
      </c>
      <c r="B117" t="s">
        <v>38</v>
      </c>
      <c r="C117" t="s">
        <v>17</v>
      </c>
      <c r="D117" t="s">
        <v>39</v>
      </c>
      <c r="E117" t="s">
        <v>19</v>
      </c>
      <c r="F117" s="2">
        <v>390726</v>
      </c>
      <c r="G117" s="3">
        <v>66.7</v>
      </c>
      <c r="H117" s="2">
        <v>725</v>
      </c>
      <c r="I117" t="s">
        <v>20</v>
      </c>
      <c r="J117" s="7">
        <f t="shared" si="6"/>
        <v>1.3374238826001385E-3</v>
      </c>
      <c r="K117" s="4">
        <f>SUM($J$2:J117)</f>
        <v>0.99565096778017281</v>
      </c>
      <c r="L117" t="str">
        <f t="shared" si="7"/>
        <v>C</v>
      </c>
    </row>
    <row r="118" spans="1:12" x14ac:dyDescent="0.2">
      <c r="A118" t="s">
        <v>248</v>
      </c>
      <c r="B118" t="s">
        <v>249</v>
      </c>
      <c r="C118" t="s">
        <v>17</v>
      </c>
      <c r="D118" t="s">
        <v>70</v>
      </c>
      <c r="E118" t="s">
        <v>13</v>
      </c>
      <c r="F118" s="2">
        <v>387605</v>
      </c>
      <c r="G118" s="3">
        <v>87.5</v>
      </c>
      <c r="H118" s="2">
        <v>0</v>
      </c>
      <c r="I118" t="s">
        <v>30</v>
      </c>
      <c r="J118" s="7">
        <f t="shared" si="6"/>
        <v>1.3267409489392224E-3</v>
      </c>
      <c r="K118" s="4">
        <f>SUM($J$2:J118)</f>
        <v>0.99697770872911207</v>
      </c>
      <c r="L118" t="str">
        <f t="shared" si="7"/>
        <v>C</v>
      </c>
    </row>
    <row r="119" spans="1:12" x14ac:dyDescent="0.2">
      <c r="A119" t="s">
        <v>256</v>
      </c>
      <c r="B119" t="s">
        <v>257</v>
      </c>
      <c r="C119" t="s">
        <v>11</v>
      </c>
      <c r="D119" t="s">
        <v>18</v>
      </c>
      <c r="E119" t="s">
        <v>13</v>
      </c>
      <c r="F119" s="2">
        <v>322426</v>
      </c>
      <c r="G119" s="3">
        <v>100</v>
      </c>
      <c r="H119" s="2">
        <v>128</v>
      </c>
      <c r="I119" t="s">
        <v>25</v>
      </c>
      <c r="J119" s="7">
        <f t="shared" si="6"/>
        <v>1.1036384391395306E-3</v>
      </c>
      <c r="K119" s="4">
        <f>SUM($J$2:J119)</f>
        <v>0.99808134716825159</v>
      </c>
      <c r="L119" t="str">
        <f t="shared" si="7"/>
        <v>C</v>
      </c>
    </row>
    <row r="120" spans="1:12" x14ac:dyDescent="0.2">
      <c r="A120" t="s">
        <v>140</v>
      </c>
      <c r="B120" t="s">
        <v>141</v>
      </c>
      <c r="C120" t="s">
        <v>63</v>
      </c>
      <c r="D120" t="s">
        <v>70</v>
      </c>
      <c r="E120" t="s">
        <v>24</v>
      </c>
      <c r="F120" s="2">
        <v>288832</v>
      </c>
      <c r="G120" s="3">
        <v>37.5</v>
      </c>
      <c r="H120" s="2">
        <v>500</v>
      </c>
      <c r="I120" t="s">
        <v>45</v>
      </c>
      <c r="J120" s="7">
        <f t="shared" si="6"/>
        <v>9.8864886098996027E-4</v>
      </c>
      <c r="K120" s="4">
        <f>SUM($J$2:J120)</f>
        <v>0.99906999602924151</v>
      </c>
      <c r="L120" t="str">
        <f t="shared" si="7"/>
        <v>C</v>
      </c>
    </row>
    <row r="121" spans="1:12" x14ac:dyDescent="0.2">
      <c r="A121" t="s">
        <v>182</v>
      </c>
      <c r="B121" t="s">
        <v>183</v>
      </c>
      <c r="C121" t="s">
        <v>11</v>
      </c>
      <c r="D121" t="s">
        <v>34</v>
      </c>
      <c r="E121" t="s">
        <v>13</v>
      </c>
      <c r="F121" s="2">
        <v>271699</v>
      </c>
      <c r="G121" s="3">
        <v>100</v>
      </c>
      <c r="H121" s="2">
        <v>192</v>
      </c>
      <c r="I121" t="s">
        <v>30</v>
      </c>
      <c r="J121" s="7">
        <f t="shared" si="6"/>
        <v>9.3000397075847273E-4</v>
      </c>
      <c r="K121" s="4">
        <f>SUM($J$2:J121)</f>
        <v>1</v>
      </c>
      <c r="L121" t="str">
        <f t="shared" si="7"/>
        <v>C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C0F8-9F96-4F47-B62A-6FDD67704BE5}">
  <dimension ref="A1:B5"/>
  <sheetViews>
    <sheetView tabSelected="1" workbookViewId="0">
      <selection activeCell="D13" sqref="D13"/>
    </sheetView>
  </sheetViews>
  <sheetFormatPr baseColWidth="10" defaultRowHeight="15" x14ac:dyDescent="0.2"/>
  <sheetData>
    <row r="1" spans="1:2" x14ac:dyDescent="0.2">
      <c r="A1" t="s">
        <v>297</v>
      </c>
      <c r="B1" t="s">
        <v>298</v>
      </c>
    </row>
    <row r="2" spans="1:2" x14ac:dyDescent="0.2">
      <c r="A2" t="s">
        <v>299</v>
      </c>
      <c r="B2">
        <f>COUNTIF(Suppliers!L:L,A2)</f>
        <v>60</v>
      </c>
    </row>
    <row r="3" spans="1:2" x14ac:dyDescent="0.2">
      <c r="A3" t="s">
        <v>300</v>
      </c>
      <c r="B3">
        <f>COUNTIF(Suppliers!L:L,A3)</f>
        <v>34</v>
      </c>
    </row>
    <row r="4" spans="1:2" x14ac:dyDescent="0.2">
      <c r="A4" t="s">
        <v>301</v>
      </c>
      <c r="B4">
        <f>COUNTIF(Suppliers!L:L,A4)</f>
        <v>26</v>
      </c>
    </row>
    <row r="5" spans="1:2" x14ac:dyDescent="0.2">
      <c r="A5" t="s">
        <v>302</v>
      </c>
      <c r="B5">
        <f>SUM(B2:B4)</f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/>
  </sheetViews>
  <sheetFormatPr baseColWidth="10" defaultColWidth="8.83203125" defaultRowHeight="15" x14ac:dyDescent="0.2"/>
  <cols>
    <col min="1" max="1" width="8" customWidth="1"/>
    <col min="2" max="2" width="20" customWidth="1"/>
    <col min="3" max="3" width="10" customWidth="1"/>
    <col min="4" max="4" width="15" customWidth="1"/>
    <col min="5" max="5" width="14" customWidth="1"/>
  </cols>
  <sheetData>
    <row r="1" spans="1:5" ht="16" x14ac:dyDescent="0.2">
      <c r="A1" s="1" t="s">
        <v>274</v>
      </c>
      <c r="B1" s="1" t="s">
        <v>275</v>
      </c>
      <c r="C1" s="1" t="s">
        <v>276</v>
      </c>
      <c r="D1" s="1" t="s">
        <v>277</v>
      </c>
      <c r="E1" s="1" t="s">
        <v>278</v>
      </c>
    </row>
    <row r="2" spans="1:5" x14ac:dyDescent="0.2">
      <c r="A2" t="s">
        <v>30</v>
      </c>
      <c r="B2" t="s">
        <v>279</v>
      </c>
      <c r="C2">
        <v>30</v>
      </c>
      <c r="D2" s="4">
        <v>0</v>
      </c>
      <c r="E2">
        <v>0</v>
      </c>
    </row>
    <row r="3" spans="1:5" x14ac:dyDescent="0.2">
      <c r="A3" t="s">
        <v>45</v>
      </c>
      <c r="B3" t="s">
        <v>280</v>
      </c>
      <c r="C3">
        <v>45</v>
      </c>
      <c r="D3" s="4">
        <v>0</v>
      </c>
      <c r="E3">
        <v>0</v>
      </c>
    </row>
    <row r="4" spans="1:5" x14ac:dyDescent="0.2">
      <c r="A4" t="s">
        <v>20</v>
      </c>
      <c r="B4" t="s">
        <v>281</v>
      </c>
      <c r="C4">
        <v>60</v>
      </c>
      <c r="D4" s="4">
        <v>0</v>
      </c>
      <c r="E4">
        <v>0</v>
      </c>
    </row>
    <row r="5" spans="1:5" x14ac:dyDescent="0.2">
      <c r="A5" t="s">
        <v>25</v>
      </c>
      <c r="B5" t="s">
        <v>282</v>
      </c>
      <c r="C5">
        <v>30</v>
      </c>
      <c r="D5" s="4">
        <v>0.02</v>
      </c>
      <c r="E5">
        <v>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/>
  </sheetViews>
  <sheetFormatPr baseColWidth="10" defaultColWidth="8.83203125" defaultRowHeight="15" x14ac:dyDescent="0.2"/>
  <cols>
    <col min="1" max="1" width="30" customWidth="1"/>
    <col min="2" max="2" width="12" customWidth="1"/>
    <col min="3" max="3" width="48" customWidth="1"/>
  </cols>
  <sheetData>
    <row r="1" spans="1:3" ht="16" x14ac:dyDescent="0.2">
      <c r="A1" s="1" t="s">
        <v>283</v>
      </c>
      <c r="B1" s="1" t="s">
        <v>284</v>
      </c>
      <c r="C1" s="1" t="s">
        <v>285</v>
      </c>
    </row>
    <row r="2" spans="1:3" x14ac:dyDescent="0.2">
      <c r="A2" t="s">
        <v>286</v>
      </c>
      <c r="B2" s="5">
        <v>46027</v>
      </c>
      <c r="C2" t="s">
        <v>287</v>
      </c>
    </row>
    <row r="3" spans="1:3" x14ac:dyDescent="0.2">
      <c r="A3" t="s">
        <v>288</v>
      </c>
      <c r="B3" s="5">
        <v>46281</v>
      </c>
    </row>
    <row r="4" spans="1:3" x14ac:dyDescent="0.2">
      <c r="A4" t="s">
        <v>289</v>
      </c>
      <c r="B4">
        <v>255</v>
      </c>
      <c r="C4" t="s">
        <v>290</v>
      </c>
    </row>
    <row r="5" spans="1:3" x14ac:dyDescent="0.2">
      <c r="A5" t="s">
        <v>291</v>
      </c>
      <c r="B5">
        <v>60</v>
      </c>
      <c r="C5" t="s">
        <v>292</v>
      </c>
    </row>
    <row r="7" spans="1:3" x14ac:dyDescent="0.2">
      <c r="A7" s="6" t="s">
        <v>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Suppliers</vt:lpstr>
      <vt:lpstr>Results</vt:lpstr>
      <vt:lpstr>Terms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2026-10-09T16:52:51Z</dcterms:created>
  <dcterms:modified xsi:type="dcterms:W3CDTF">2026-10-09T18:41:53Z</dcterms:modified>
</cp:coreProperties>
</file>